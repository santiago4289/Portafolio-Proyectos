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si Gamer\Downloads\"/>
    </mc:Choice>
  </mc:AlternateContent>
  <xr:revisionPtr revIDLastSave="0" documentId="13_ncr:1_{E50CAC09-6CC0-42DB-B738-C39B1ACE87F1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Lote 1" sheetId="1" r:id="rId1"/>
    <sheet name="Lote 2" sheetId="2" r:id="rId2"/>
    <sheet name="Lote 3" sheetId="3" r:id="rId3"/>
    <sheet name="%Ganancia" sheetId="4" r:id="rId4"/>
    <sheet name="Resumen" sheetId="5" r:id="rId5"/>
    <sheet name="Analisis Cp" sheetId="6" r:id="rId6"/>
    <sheet name="Parámetros proc.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bBEcOyOaucRQTeqzLvXqTqEUFm3bbvH6d7nR4Wo3Y9g="/>
    </ext>
  </extLst>
</workbook>
</file>

<file path=xl/calcChain.xml><?xml version="1.0" encoding="utf-8"?>
<calcChain xmlns="http://schemas.openxmlformats.org/spreadsheetml/2006/main">
  <c r="B15" i="6" l="1"/>
  <c r="B11" i="6"/>
  <c r="B9" i="6"/>
  <c r="I5" i="6"/>
  <c r="H5" i="6"/>
  <c r="J5" i="6" s="1"/>
  <c r="G5" i="6"/>
  <c r="F5" i="6"/>
  <c r="E5" i="6"/>
  <c r="D5" i="6"/>
  <c r="C5" i="6"/>
  <c r="B5" i="6"/>
  <c r="H4" i="6"/>
  <c r="F4" i="6"/>
  <c r="E4" i="6"/>
  <c r="D4" i="6"/>
  <c r="C4" i="6"/>
  <c r="B4" i="6"/>
  <c r="F3" i="6"/>
  <c r="E3" i="6"/>
  <c r="D3" i="6"/>
  <c r="C3" i="6"/>
  <c r="B3" i="6"/>
  <c r="R26" i="5"/>
  <c r="M21" i="5"/>
  <c r="N3" i="5"/>
  <c r="I3" i="5"/>
  <c r="D3" i="5"/>
  <c r="I44" i="4"/>
  <c r="G44" i="4"/>
  <c r="P44" i="4" s="1"/>
  <c r="F44" i="4"/>
  <c r="O44" i="4" s="1"/>
  <c r="E44" i="4"/>
  <c r="N44" i="4" s="1"/>
  <c r="D44" i="4"/>
  <c r="M44" i="4" s="1"/>
  <c r="C44" i="4"/>
  <c r="I43" i="4"/>
  <c r="G43" i="4"/>
  <c r="P43" i="4" s="1"/>
  <c r="F43" i="4"/>
  <c r="O43" i="4" s="1"/>
  <c r="E43" i="4"/>
  <c r="N43" i="4" s="1"/>
  <c r="D43" i="4"/>
  <c r="M43" i="4" s="1"/>
  <c r="C43" i="4"/>
  <c r="I42" i="4"/>
  <c r="G42" i="4"/>
  <c r="P42" i="4" s="1"/>
  <c r="F42" i="4"/>
  <c r="O42" i="4" s="1"/>
  <c r="E42" i="4"/>
  <c r="N42" i="4" s="1"/>
  <c r="D42" i="4"/>
  <c r="M42" i="4" s="1"/>
  <c r="C42" i="4"/>
  <c r="I41" i="4"/>
  <c r="H41" i="4"/>
  <c r="G41" i="4"/>
  <c r="P41" i="4" s="1"/>
  <c r="F41" i="4"/>
  <c r="O41" i="4" s="1"/>
  <c r="E41" i="4"/>
  <c r="N41" i="4" s="1"/>
  <c r="D41" i="4"/>
  <c r="M41" i="4" s="1"/>
  <c r="C41" i="4"/>
  <c r="L41" i="4" s="1"/>
  <c r="G40" i="4"/>
  <c r="P40" i="4" s="1"/>
  <c r="F40" i="4"/>
  <c r="O40" i="4" s="1"/>
  <c r="E40" i="4"/>
  <c r="N40" i="4" s="1"/>
  <c r="D40" i="4"/>
  <c r="M40" i="4" s="1"/>
  <c r="C40" i="4"/>
  <c r="G39" i="4"/>
  <c r="P39" i="4" s="1"/>
  <c r="F39" i="4"/>
  <c r="O39" i="4" s="1"/>
  <c r="E39" i="4"/>
  <c r="N39" i="4" s="1"/>
  <c r="D39" i="4"/>
  <c r="M39" i="4" s="1"/>
  <c r="C39" i="4"/>
  <c r="G38" i="4"/>
  <c r="P38" i="4" s="1"/>
  <c r="F38" i="4"/>
  <c r="O38" i="4" s="1"/>
  <c r="E38" i="4"/>
  <c r="N38" i="4" s="1"/>
  <c r="D38" i="4"/>
  <c r="M38" i="4" s="1"/>
  <c r="C38" i="4"/>
  <c r="I37" i="4"/>
  <c r="G37" i="4"/>
  <c r="P37" i="4" s="1"/>
  <c r="F37" i="4"/>
  <c r="O37" i="4" s="1"/>
  <c r="E37" i="4"/>
  <c r="N37" i="4" s="1"/>
  <c r="D37" i="4"/>
  <c r="M37" i="4" s="1"/>
  <c r="C37" i="4"/>
  <c r="G36" i="4"/>
  <c r="P36" i="4" s="1"/>
  <c r="F36" i="4"/>
  <c r="O36" i="4" s="1"/>
  <c r="E36" i="4"/>
  <c r="N36" i="4" s="1"/>
  <c r="D36" i="4"/>
  <c r="M36" i="4" s="1"/>
  <c r="C36" i="4"/>
  <c r="G35" i="4"/>
  <c r="P35" i="4" s="1"/>
  <c r="F35" i="4"/>
  <c r="O35" i="4" s="1"/>
  <c r="E35" i="4"/>
  <c r="N35" i="4" s="1"/>
  <c r="D35" i="4"/>
  <c r="M35" i="4" s="1"/>
  <c r="C35" i="4"/>
  <c r="G34" i="4"/>
  <c r="P34" i="4" s="1"/>
  <c r="F34" i="4"/>
  <c r="O34" i="4" s="1"/>
  <c r="E34" i="4"/>
  <c r="N34" i="4" s="1"/>
  <c r="D34" i="4"/>
  <c r="M34" i="4" s="1"/>
  <c r="C34" i="4"/>
  <c r="G29" i="4"/>
  <c r="P29" i="4" s="1"/>
  <c r="F29" i="4"/>
  <c r="O29" i="4" s="1"/>
  <c r="E29" i="4"/>
  <c r="N29" i="4" s="1"/>
  <c r="D29" i="4"/>
  <c r="M29" i="4" s="1"/>
  <c r="C29" i="4"/>
  <c r="I28" i="4"/>
  <c r="G28" i="4"/>
  <c r="P28" i="4" s="1"/>
  <c r="F28" i="4"/>
  <c r="O28" i="4" s="1"/>
  <c r="E28" i="4"/>
  <c r="N28" i="4" s="1"/>
  <c r="D28" i="4"/>
  <c r="M28" i="4" s="1"/>
  <c r="C28" i="4"/>
  <c r="G27" i="4"/>
  <c r="P27" i="4" s="1"/>
  <c r="F27" i="4"/>
  <c r="O27" i="4" s="1"/>
  <c r="E27" i="4"/>
  <c r="N27" i="4" s="1"/>
  <c r="D27" i="4"/>
  <c r="M27" i="4" s="1"/>
  <c r="C27" i="4"/>
  <c r="G26" i="4"/>
  <c r="P26" i="4" s="1"/>
  <c r="F26" i="4"/>
  <c r="O26" i="4" s="1"/>
  <c r="E26" i="4"/>
  <c r="N26" i="4" s="1"/>
  <c r="D26" i="4"/>
  <c r="M26" i="4" s="1"/>
  <c r="C26" i="4"/>
  <c r="G25" i="4"/>
  <c r="P25" i="4" s="1"/>
  <c r="F25" i="4"/>
  <c r="O25" i="4" s="1"/>
  <c r="E25" i="4"/>
  <c r="N25" i="4" s="1"/>
  <c r="D25" i="4"/>
  <c r="M25" i="4" s="1"/>
  <c r="C25" i="4"/>
  <c r="L24" i="4"/>
  <c r="G24" i="4"/>
  <c r="P24" i="4" s="1"/>
  <c r="F24" i="4"/>
  <c r="O24" i="4" s="1"/>
  <c r="E24" i="4"/>
  <c r="N24" i="4" s="1"/>
  <c r="D24" i="4"/>
  <c r="C24" i="4"/>
  <c r="G23" i="4"/>
  <c r="P23" i="4" s="1"/>
  <c r="F23" i="4"/>
  <c r="O23" i="4" s="1"/>
  <c r="E23" i="4"/>
  <c r="N23" i="4" s="1"/>
  <c r="D23" i="4"/>
  <c r="M23" i="4" s="1"/>
  <c r="C23" i="4"/>
  <c r="G22" i="4"/>
  <c r="P22" i="4" s="1"/>
  <c r="F22" i="4"/>
  <c r="O22" i="4" s="1"/>
  <c r="E22" i="4"/>
  <c r="N22" i="4" s="1"/>
  <c r="D22" i="4"/>
  <c r="M22" i="4" s="1"/>
  <c r="C22" i="4"/>
  <c r="G21" i="4"/>
  <c r="P21" i="4" s="1"/>
  <c r="F21" i="4"/>
  <c r="O21" i="4" s="1"/>
  <c r="E21" i="4"/>
  <c r="N21" i="4" s="1"/>
  <c r="D21" i="4"/>
  <c r="M21" i="4" s="1"/>
  <c r="C21" i="4"/>
  <c r="G20" i="4"/>
  <c r="P20" i="4" s="1"/>
  <c r="F20" i="4"/>
  <c r="O20" i="4" s="1"/>
  <c r="E20" i="4"/>
  <c r="N20" i="4" s="1"/>
  <c r="D20" i="4"/>
  <c r="M20" i="4" s="1"/>
  <c r="C20" i="4"/>
  <c r="G19" i="4"/>
  <c r="P19" i="4" s="1"/>
  <c r="F19" i="4"/>
  <c r="O19" i="4" s="1"/>
  <c r="E19" i="4"/>
  <c r="N19" i="4" s="1"/>
  <c r="D19" i="4"/>
  <c r="M19" i="4" s="1"/>
  <c r="C19" i="4"/>
  <c r="G14" i="4"/>
  <c r="P14" i="4" s="1"/>
  <c r="F14" i="4"/>
  <c r="O14" i="4" s="1"/>
  <c r="E14" i="4"/>
  <c r="N14" i="4" s="1"/>
  <c r="D14" i="4"/>
  <c r="M14" i="4" s="1"/>
  <c r="C14" i="4"/>
  <c r="G13" i="4"/>
  <c r="P13" i="4" s="1"/>
  <c r="F13" i="4"/>
  <c r="O13" i="4" s="1"/>
  <c r="E13" i="4"/>
  <c r="N13" i="4" s="1"/>
  <c r="D13" i="4"/>
  <c r="M13" i="4" s="1"/>
  <c r="C13" i="4"/>
  <c r="G12" i="4"/>
  <c r="P12" i="4" s="1"/>
  <c r="F12" i="4"/>
  <c r="O12" i="4" s="1"/>
  <c r="E12" i="4"/>
  <c r="N12" i="4" s="1"/>
  <c r="D12" i="4"/>
  <c r="M12" i="4" s="1"/>
  <c r="C12" i="4"/>
  <c r="G11" i="4"/>
  <c r="P11" i="4" s="1"/>
  <c r="F11" i="4"/>
  <c r="O11" i="4" s="1"/>
  <c r="E11" i="4"/>
  <c r="N11" i="4" s="1"/>
  <c r="D11" i="4"/>
  <c r="M11" i="4" s="1"/>
  <c r="C11" i="4"/>
  <c r="L10" i="4"/>
  <c r="G10" i="4"/>
  <c r="P10" i="4" s="1"/>
  <c r="F10" i="4"/>
  <c r="O10" i="4" s="1"/>
  <c r="E10" i="4"/>
  <c r="N10" i="4" s="1"/>
  <c r="D10" i="4"/>
  <c r="C10" i="4"/>
  <c r="I9" i="4"/>
  <c r="G9" i="4"/>
  <c r="P9" i="4" s="1"/>
  <c r="F9" i="4"/>
  <c r="O9" i="4" s="1"/>
  <c r="E9" i="4"/>
  <c r="N9" i="4" s="1"/>
  <c r="D9" i="4"/>
  <c r="M9" i="4" s="1"/>
  <c r="C9" i="4"/>
  <c r="G8" i="4"/>
  <c r="P8" i="4" s="1"/>
  <c r="F8" i="4"/>
  <c r="O8" i="4" s="1"/>
  <c r="E8" i="4"/>
  <c r="N8" i="4" s="1"/>
  <c r="D8" i="4"/>
  <c r="M8" i="4" s="1"/>
  <c r="C8" i="4"/>
  <c r="G7" i="4"/>
  <c r="P7" i="4" s="1"/>
  <c r="F7" i="4"/>
  <c r="O7" i="4" s="1"/>
  <c r="E7" i="4"/>
  <c r="N7" i="4" s="1"/>
  <c r="D7" i="4"/>
  <c r="M7" i="4" s="1"/>
  <c r="C7" i="4"/>
  <c r="G6" i="4"/>
  <c r="P6" i="4" s="1"/>
  <c r="F6" i="4"/>
  <c r="O6" i="4" s="1"/>
  <c r="E6" i="4"/>
  <c r="N6" i="4" s="1"/>
  <c r="D6" i="4"/>
  <c r="M6" i="4" s="1"/>
  <c r="C6" i="4"/>
  <c r="P5" i="4"/>
  <c r="O5" i="4"/>
  <c r="N5" i="4"/>
  <c r="M5" i="4"/>
  <c r="L5" i="4"/>
  <c r="I5" i="4"/>
  <c r="H5" i="4"/>
  <c r="G5" i="4"/>
  <c r="F5" i="4"/>
  <c r="E5" i="4"/>
  <c r="D5" i="4"/>
  <c r="C5" i="4"/>
  <c r="G4" i="4"/>
  <c r="P4" i="4" s="1"/>
  <c r="F4" i="4"/>
  <c r="O4" i="4" s="1"/>
  <c r="E4" i="4"/>
  <c r="N4" i="4" s="1"/>
  <c r="D4" i="4"/>
  <c r="M4" i="4" s="1"/>
  <c r="C4" i="4"/>
  <c r="AA14" i="3"/>
  <c r="Z14" i="3"/>
  <c r="Q13" i="5" s="1"/>
  <c r="S14" i="3"/>
  <c r="R14" i="3"/>
  <c r="P13" i="5" s="1"/>
  <c r="N14" i="3"/>
  <c r="M14" i="3"/>
  <c r="O13" i="5" s="1"/>
  <c r="I14" i="3"/>
  <c r="H14" i="3"/>
  <c r="M13" i="5" s="1"/>
  <c r="AA13" i="3"/>
  <c r="Z13" i="3"/>
  <c r="Q12" i="5" s="1"/>
  <c r="S13" i="3"/>
  <c r="R13" i="3"/>
  <c r="P12" i="5" s="1"/>
  <c r="N13" i="3"/>
  <c r="M13" i="3"/>
  <c r="O12" i="5" s="1"/>
  <c r="I13" i="3"/>
  <c r="H13" i="3"/>
  <c r="M12" i="5" s="1"/>
  <c r="AA12" i="3"/>
  <c r="Z12" i="3"/>
  <c r="Q11" i="5" s="1"/>
  <c r="S12" i="3"/>
  <c r="R12" i="3"/>
  <c r="P11" i="5" s="1"/>
  <c r="N12" i="3"/>
  <c r="M12" i="3"/>
  <c r="O11" i="5" s="1"/>
  <c r="I12" i="3"/>
  <c r="H12" i="3"/>
  <c r="M11" i="5" s="1"/>
  <c r="AA11" i="3"/>
  <c r="Z11" i="3"/>
  <c r="Q10" i="5" s="1"/>
  <c r="S11" i="3"/>
  <c r="R11" i="3"/>
  <c r="P10" i="5" s="1"/>
  <c r="N11" i="3"/>
  <c r="M11" i="3"/>
  <c r="O10" i="5" s="1"/>
  <c r="I11" i="3"/>
  <c r="H11" i="3"/>
  <c r="M10" i="5" s="1"/>
  <c r="AA10" i="3"/>
  <c r="Z10" i="3"/>
  <c r="Q9" i="5" s="1"/>
  <c r="S10" i="3"/>
  <c r="R10" i="3"/>
  <c r="P9" i="5" s="1"/>
  <c r="N10" i="3"/>
  <c r="M10" i="3"/>
  <c r="O9" i="5" s="1"/>
  <c r="I10" i="3"/>
  <c r="H10" i="3"/>
  <c r="M9" i="5" s="1"/>
  <c r="AA9" i="3"/>
  <c r="Z9" i="3"/>
  <c r="Q8" i="5" s="1"/>
  <c r="S9" i="3"/>
  <c r="R9" i="3"/>
  <c r="P8" i="5" s="1"/>
  <c r="N9" i="3"/>
  <c r="M9" i="3"/>
  <c r="O8" i="5" s="1"/>
  <c r="I9" i="3"/>
  <c r="H9" i="3"/>
  <c r="M8" i="5" s="1"/>
  <c r="AA8" i="3"/>
  <c r="Z8" i="3"/>
  <c r="Q7" i="5" s="1"/>
  <c r="S8" i="3"/>
  <c r="R8" i="3"/>
  <c r="P7" i="5" s="1"/>
  <c r="N8" i="3"/>
  <c r="M8" i="3"/>
  <c r="O7" i="5" s="1"/>
  <c r="I8" i="3"/>
  <c r="H8" i="3"/>
  <c r="M7" i="5" s="1"/>
  <c r="AA7" i="3"/>
  <c r="Z7" i="3"/>
  <c r="Q6" i="5" s="1"/>
  <c r="S7" i="3"/>
  <c r="R7" i="3"/>
  <c r="P6" i="5" s="1"/>
  <c r="N7" i="3"/>
  <c r="M7" i="3"/>
  <c r="O6" i="5" s="1"/>
  <c r="I7" i="3"/>
  <c r="H7" i="3"/>
  <c r="M6" i="5" s="1"/>
  <c r="AA6" i="3"/>
  <c r="Z6" i="3"/>
  <c r="Q5" i="5" s="1"/>
  <c r="S6" i="3"/>
  <c r="R6" i="3"/>
  <c r="P5" i="5" s="1"/>
  <c r="N6" i="3"/>
  <c r="M6" i="3"/>
  <c r="O5" i="5" s="1"/>
  <c r="I6" i="3"/>
  <c r="H6" i="3"/>
  <c r="M5" i="5" s="1"/>
  <c r="AA5" i="3"/>
  <c r="Z5" i="3"/>
  <c r="Q4" i="5" s="1"/>
  <c r="S5" i="3"/>
  <c r="R5" i="3"/>
  <c r="P4" i="5" s="1"/>
  <c r="N5" i="3"/>
  <c r="M5" i="3"/>
  <c r="O4" i="5" s="1"/>
  <c r="I5" i="3"/>
  <c r="H5" i="3"/>
  <c r="M4" i="5" s="1"/>
  <c r="AA4" i="3"/>
  <c r="Z4" i="3"/>
  <c r="Q3" i="5" s="1"/>
  <c r="S4" i="3"/>
  <c r="R4" i="3"/>
  <c r="P3" i="5" s="1"/>
  <c r="N4" i="3"/>
  <c r="M4" i="3"/>
  <c r="O3" i="5" s="1"/>
  <c r="I4" i="3"/>
  <c r="H4" i="3"/>
  <c r="M3" i="5" s="1"/>
  <c r="AA14" i="2"/>
  <c r="Z14" i="2"/>
  <c r="L13" i="5" s="1"/>
  <c r="S14" i="2"/>
  <c r="R14" i="2"/>
  <c r="K13" i="5" s="1"/>
  <c r="N14" i="2"/>
  <c r="M14" i="2"/>
  <c r="J13" i="5" s="1"/>
  <c r="I14" i="2"/>
  <c r="H14" i="2"/>
  <c r="H13" i="5" s="1"/>
  <c r="AA13" i="2"/>
  <c r="Z13" i="2"/>
  <c r="L12" i="5" s="1"/>
  <c r="S13" i="2"/>
  <c r="R13" i="2"/>
  <c r="K12" i="5" s="1"/>
  <c r="N13" i="2"/>
  <c r="M13" i="2"/>
  <c r="J12" i="5" s="1"/>
  <c r="I13" i="2"/>
  <c r="H13" i="2"/>
  <c r="H12" i="5" s="1"/>
  <c r="AA12" i="2"/>
  <c r="Z12" i="2"/>
  <c r="L11" i="5" s="1"/>
  <c r="S12" i="2"/>
  <c r="R12" i="2"/>
  <c r="K11" i="5" s="1"/>
  <c r="N12" i="2"/>
  <c r="M12" i="2"/>
  <c r="J11" i="5" s="1"/>
  <c r="I12" i="2"/>
  <c r="H12" i="2"/>
  <c r="H11" i="5" s="1"/>
  <c r="AA11" i="2"/>
  <c r="Z11" i="2"/>
  <c r="L10" i="5" s="1"/>
  <c r="S11" i="2"/>
  <c r="R11" i="2"/>
  <c r="K10" i="5" s="1"/>
  <c r="N11" i="2"/>
  <c r="M11" i="2"/>
  <c r="J10" i="5" s="1"/>
  <c r="I11" i="2"/>
  <c r="H11" i="2"/>
  <c r="H10" i="5" s="1"/>
  <c r="AA10" i="2"/>
  <c r="Z10" i="2"/>
  <c r="L9" i="5" s="1"/>
  <c r="S10" i="2"/>
  <c r="R10" i="2"/>
  <c r="K9" i="5" s="1"/>
  <c r="N10" i="2"/>
  <c r="M10" i="2"/>
  <c r="J9" i="5" s="1"/>
  <c r="I10" i="2"/>
  <c r="H10" i="2"/>
  <c r="H9" i="5" s="1"/>
  <c r="AA9" i="2"/>
  <c r="Z9" i="2"/>
  <c r="L8" i="5" s="1"/>
  <c r="S9" i="2"/>
  <c r="R9" i="2"/>
  <c r="K8" i="5" s="1"/>
  <c r="N9" i="2"/>
  <c r="M9" i="2"/>
  <c r="J8" i="5" s="1"/>
  <c r="I9" i="2"/>
  <c r="H9" i="2"/>
  <c r="H8" i="5" s="1"/>
  <c r="AA8" i="2"/>
  <c r="Z8" i="2"/>
  <c r="L7" i="5" s="1"/>
  <c r="S8" i="2"/>
  <c r="R8" i="2"/>
  <c r="K7" i="5" s="1"/>
  <c r="N8" i="2"/>
  <c r="M8" i="2"/>
  <c r="J7" i="5" s="1"/>
  <c r="I8" i="2"/>
  <c r="H8" i="2"/>
  <c r="H7" i="5" s="1"/>
  <c r="AA7" i="2"/>
  <c r="Z7" i="2"/>
  <c r="L6" i="5" s="1"/>
  <c r="S7" i="2"/>
  <c r="R7" i="2"/>
  <c r="K6" i="5" s="1"/>
  <c r="N7" i="2"/>
  <c r="M7" i="2"/>
  <c r="J6" i="5" s="1"/>
  <c r="I7" i="2"/>
  <c r="H7" i="2"/>
  <c r="H6" i="5" s="1"/>
  <c r="AA6" i="2"/>
  <c r="Z6" i="2"/>
  <c r="L5" i="5" s="1"/>
  <c r="S6" i="2"/>
  <c r="R6" i="2"/>
  <c r="K5" i="5" s="1"/>
  <c r="N6" i="2"/>
  <c r="M6" i="2"/>
  <c r="J5" i="5" s="1"/>
  <c r="I6" i="2"/>
  <c r="H6" i="2"/>
  <c r="H5" i="5" s="1"/>
  <c r="AA5" i="2"/>
  <c r="Z5" i="2"/>
  <c r="L4" i="5" s="1"/>
  <c r="S5" i="2"/>
  <c r="R5" i="2"/>
  <c r="K4" i="5" s="1"/>
  <c r="N5" i="2"/>
  <c r="M5" i="2"/>
  <c r="J4" i="5" s="1"/>
  <c r="I5" i="2"/>
  <c r="H5" i="2"/>
  <c r="H4" i="5" s="1"/>
  <c r="AA4" i="2"/>
  <c r="Z4" i="2"/>
  <c r="L3" i="5" s="1"/>
  <c r="S4" i="2"/>
  <c r="R4" i="2"/>
  <c r="K3" i="5" s="1"/>
  <c r="N4" i="2"/>
  <c r="M4" i="2"/>
  <c r="J3" i="5" s="1"/>
  <c r="I4" i="2"/>
  <c r="H4" i="2"/>
  <c r="H3" i="5" s="1"/>
  <c r="AE14" i="1"/>
  <c r="AD14" i="1"/>
  <c r="G13" i="5" s="1"/>
  <c r="R15" i="5" s="1"/>
  <c r="S14" i="1"/>
  <c r="R14" i="1"/>
  <c r="F13" i="5" s="1"/>
  <c r="N14" i="1"/>
  <c r="M14" i="1"/>
  <c r="E13" i="5" s="1"/>
  <c r="I14" i="1"/>
  <c r="H14" i="1"/>
  <c r="C13" i="5" s="1"/>
  <c r="AE13" i="1"/>
  <c r="AD13" i="1"/>
  <c r="G12" i="5" s="1"/>
  <c r="S13" i="1"/>
  <c r="R13" i="1"/>
  <c r="F12" i="5" s="1"/>
  <c r="N13" i="1"/>
  <c r="M13" i="1"/>
  <c r="E12" i="5" s="1"/>
  <c r="I13" i="1"/>
  <c r="H13" i="1"/>
  <c r="C12" i="5" s="1"/>
  <c r="AE12" i="1"/>
  <c r="AD12" i="1"/>
  <c r="G11" i="5" s="1"/>
  <c r="S12" i="1"/>
  <c r="R12" i="1"/>
  <c r="F11" i="5" s="1"/>
  <c r="N12" i="1"/>
  <c r="M12" i="1"/>
  <c r="E11" i="5" s="1"/>
  <c r="I12" i="1"/>
  <c r="H12" i="1"/>
  <c r="C11" i="5" s="1"/>
  <c r="AE11" i="1"/>
  <c r="AD11" i="1"/>
  <c r="G10" i="5" s="1"/>
  <c r="S11" i="1"/>
  <c r="R11" i="1"/>
  <c r="F10" i="5" s="1"/>
  <c r="N11" i="1"/>
  <c r="M11" i="1"/>
  <c r="E10" i="5" s="1"/>
  <c r="I11" i="1"/>
  <c r="H11" i="1"/>
  <c r="C10" i="5" s="1"/>
  <c r="AE10" i="1"/>
  <c r="AD10" i="1"/>
  <c r="G9" i="5" s="1"/>
  <c r="S10" i="1"/>
  <c r="R10" i="1"/>
  <c r="F9" i="5" s="1"/>
  <c r="N10" i="1"/>
  <c r="M10" i="1"/>
  <c r="E9" i="5" s="1"/>
  <c r="I10" i="1"/>
  <c r="H10" i="1"/>
  <c r="C9" i="5" s="1"/>
  <c r="AE9" i="1"/>
  <c r="AD9" i="1"/>
  <c r="G8" i="5" s="1"/>
  <c r="S9" i="1"/>
  <c r="R9" i="1"/>
  <c r="F8" i="5" s="1"/>
  <c r="N9" i="1"/>
  <c r="M9" i="1"/>
  <c r="E8" i="5" s="1"/>
  <c r="I9" i="1"/>
  <c r="H9" i="1"/>
  <c r="C8" i="5" s="1"/>
  <c r="AE8" i="1"/>
  <c r="AD8" i="1"/>
  <c r="G7" i="5" s="1"/>
  <c r="S8" i="1"/>
  <c r="R8" i="1"/>
  <c r="F7" i="5" s="1"/>
  <c r="N8" i="1"/>
  <c r="M8" i="1"/>
  <c r="E7" i="5" s="1"/>
  <c r="I8" i="1"/>
  <c r="H8" i="1"/>
  <c r="C7" i="5" s="1"/>
  <c r="AE7" i="1"/>
  <c r="AD7" i="1"/>
  <c r="G6" i="5" s="1"/>
  <c r="S7" i="1"/>
  <c r="R7" i="1"/>
  <c r="F6" i="5" s="1"/>
  <c r="N7" i="1"/>
  <c r="M7" i="1"/>
  <c r="E6" i="5" s="1"/>
  <c r="I7" i="1"/>
  <c r="H7" i="1"/>
  <c r="C6" i="5" s="1"/>
  <c r="AE6" i="1"/>
  <c r="AD6" i="1"/>
  <c r="G5" i="5" s="1"/>
  <c r="S6" i="1"/>
  <c r="R6" i="1"/>
  <c r="F5" i="5" s="1"/>
  <c r="N6" i="1"/>
  <c r="M6" i="1"/>
  <c r="E5" i="5" s="1"/>
  <c r="I6" i="1"/>
  <c r="H6" i="1"/>
  <c r="C5" i="5" s="1"/>
  <c r="AE5" i="1"/>
  <c r="AD5" i="1"/>
  <c r="G4" i="5" s="1"/>
  <c r="S5" i="1"/>
  <c r="R5" i="1"/>
  <c r="F4" i="5" s="1"/>
  <c r="N5" i="1"/>
  <c r="M5" i="1"/>
  <c r="E4" i="5" s="1"/>
  <c r="I5" i="1"/>
  <c r="H5" i="1"/>
  <c r="C4" i="5" s="1"/>
  <c r="AE4" i="1"/>
  <c r="AD4" i="1"/>
  <c r="G3" i="5" s="1"/>
  <c r="S4" i="1"/>
  <c r="R4" i="1"/>
  <c r="F3" i="5" s="1"/>
  <c r="N4" i="1"/>
  <c r="M4" i="1"/>
  <c r="E3" i="5" s="1"/>
  <c r="I4" i="1"/>
  <c r="H4" i="1"/>
  <c r="C3" i="5" s="1"/>
  <c r="B18" i="6" l="1"/>
  <c r="G4" i="6"/>
  <c r="I4" i="6"/>
  <c r="J4" i="6" s="1"/>
  <c r="G3" i="6"/>
  <c r="G7" i="6" s="1"/>
  <c r="H3" i="6"/>
  <c r="I3" i="6"/>
  <c r="L44" i="4"/>
  <c r="H44" i="4"/>
  <c r="L43" i="4"/>
  <c r="H43" i="4"/>
  <c r="H42" i="4"/>
  <c r="L42" i="4"/>
  <c r="Q41" i="4"/>
  <c r="H40" i="4"/>
  <c r="L40" i="4"/>
  <c r="I40" i="4"/>
  <c r="L39" i="4"/>
  <c r="I39" i="4"/>
  <c r="H39" i="4"/>
  <c r="L38" i="4"/>
  <c r="I38" i="4"/>
  <c r="H38" i="4"/>
  <c r="L37" i="4"/>
  <c r="H37" i="4"/>
  <c r="L36" i="4"/>
  <c r="H36" i="4"/>
  <c r="I36" i="4"/>
  <c r="H35" i="4"/>
  <c r="L35" i="4"/>
  <c r="I35" i="4"/>
  <c r="H34" i="4"/>
  <c r="L34" i="4"/>
  <c r="Q34" i="4" s="1"/>
  <c r="I34" i="4"/>
  <c r="L29" i="4"/>
  <c r="I29" i="4"/>
  <c r="H29" i="4"/>
  <c r="H28" i="4"/>
  <c r="L28" i="4"/>
  <c r="I27" i="4"/>
  <c r="L27" i="4"/>
  <c r="H27" i="4"/>
  <c r="I26" i="4"/>
  <c r="H26" i="4"/>
  <c r="L26" i="4"/>
  <c r="I25" i="4"/>
  <c r="H25" i="4"/>
  <c r="L25" i="4"/>
  <c r="Q24" i="4"/>
  <c r="M24" i="4"/>
  <c r="I24" i="4"/>
  <c r="H24" i="4"/>
  <c r="L23" i="4"/>
  <c r="I23" i="4"/>
  <c r="H23" i="4"/>
  <c r="L22" i="4"/>
  <c r="I22" i="4"/>
  <c r="H22" i="4"/>
  <c r="I21" i="4"/>
  <c r="H21" i="4"/>
  <c r="L21" i="4"/>
  <c r="I20" i="4"/>
  <c r="H20" i="4"/>
  <c r="L20" i="4"/>
  <c r="I19" i="4"/>
  <c r="H19" i="4"/>
  <c r="L19" i="4"/>
  <c r="Q19" i="4" s="1"/>
  <c r="I14" i="4"/>
  <c r="L14" i="4"/>
  <c r="H14" i="4"/>
  <c r="H13" i="4"/>
  <c r="L13" i="4"/>
  <c r="L12" i="4"/>
  <c r="I12" i="4"/>
  <c r="H12" i="4"/>
  <c r="I13" i="4"/>
  <c r="L11" i="4"/>
  <c r="I11" i="4"/>
  <c r="H11" i="4"/>
  <c r="M10" i="4"/>
  <c r="Q10" i="4" s="1"/>
  <c r="H10" i="4"/>
  <c r="I10" i="4"/>
  <c r="H9" i="4"/>
  <c r="L9" i="4"/>
  <c r="I8" i="4"/>
  <c r="L8" i="4"/>
  <c r="H8" i="4"/>
  <c r="L7" i="4"/>
  <c r="H7" i="4"/>
  <c r="I7" i="4"/>
  <c r="L6" i="4"/>
  <c r="H6" i="4"/>
  <c r="I6" i="4"/>
  <c r="Q5" i="4"/>
  <c r="L4" i="4"/>
  <c r="Q4" i="4" s="1"/>
  <c r="H4" i="4"/>
  <c r="M46" i="4" s="1"/>
  <c r="I4" i="4"/>
  <c r="R21" i="5"/>
  <c r="R25" i="5"/>
  <c r="F13" i="6" l="1"/>
  <c r="F15" i="6" s="1"/>
  <c r="F9" i="6"/>
  <c r="F11" i="6" s="1"/>
  <c r="Q44" i="4"/>
  <c r="T44" i="4"/>
  <c r="Y44" i="4" s="1"/>
  <c r="Q43" i="4"/>
  <c r="T43" i="4"/>
  <c r="Y43" i="4" s="1"/>
  <c r="N12" i="5" s="1"/>
  <c r="Q42" i="4"/>
  <c r="T42" i="4"/>
  <c r="Y42" i="4" s="1"/>
  <c r="N11" i="5" s="1"/>
  <c r="Q40" i="4"/>
  <c r="T40" i="4"/>
  <c r="Y40" i="4" s="1"/>
  <c r="N9" i="5" s="1"/>
  <c r="Q39" i="4"/>
  <c r="T39" i="4"/>
  <c r="Y39" i="4" s="1"/>
  <c r="N8" i="5" s="1"/>
  <c r="Q38" i="4"/>
  <c r="T38" i="4"/>
  <c r="Y38" i="4" s="1"/>
  <c r="N7" i="5" s="1"/>
  <c r="Q37" i="4"/>
  <c r="T37" i="4"/>
  <c r="Y37" i="4" s="1"/>
  <c r="N6" i="5" s="1"/>
  <c r="T36" i="4"/>
  <c r="Y36" i="4" s="1"/>
  <c r="N5" i="5" s="1"/>
  <c r="Q36" i="4"/>
  <c r="T35" i="4"/>
  <c r="Y35" i="4" s="1"/>
  <c r="N4" i="5" s="1"/>
  <c r="Q35" i="4"/>
  <c r="T29" i="4"/>
  <c r="Y29" i="4" s="1"/>
  <c r="Q29" i="4"/>
  <c r="Q28" i="4"/>
  <c r="T28" i="4"/>
  <c r="Y28" i="4" s="1"/>
  <c r="I12" i="5" s="1"/>
  <c r="Q27" i="4"/>
  <c r="T27" i="4"/>
  <c r="Y27" i="4" s="1"/>
  <c r="I11" i="5" s="1"/>
  <c r="T26" i="4"/>
  <c r="Y26" i="4" s="1"/>
  <c r="I10" i="5" s="1"/>
  <c r="Q26" i="4"/>
  <c r="T25" i="4"/>
  <c r="Y25" i="4" s="1"/>
  <c r="I9" i="5" s="1"/>
  <c r="Q25" i="4"/>
  <c r="T23" i="4"/>
  <c r="Y23" i="4" s="1"/>
  <c r="I7" i="5" s="1"/>
  <c r="Q23" i="4"/>
  <c r="T22" i="4"/>
  <c r="Y22" i="4" s="1"/>
  <c r="I6" i="5" s="1"/>
  <c r="Q22" i="4"/>
  <c r="T21" i="4"/>
  <c r="Y21" i="4" s="1"/>
  <c r="I5" i="5" s="1"/>
  <c r="Q21" i="4"/>
  <c r="Q20" i="4"/>
  <c r="T20" i="4"/>
  <c r="Y20" i="4" s="1"/>
  <c r="I4" i="5" s="1"/>
  <c r="Q14" i="4"/>
  <c r="M22" i="5" s="1"/>
  <c r="T14" i="4"/>
  <c r="T13" i="4"/>
  <c r="Q13" i="4"/>
  <c r="Q12" i="4"/>
  <c r="T12" i="4"/>
  <c r="Q11" i="4"/>
  <c r="T11" i="4"/>
  <c r="Q9" i="4"/>
  <c r="T9" i="4"/>
  <c r="Q8" i="4"/>
  <c r="T8" i="4"/>
  <c r="Q7" i="4"/>
  <c r="T7" i="4"/>
  <c r="Q6" i="4"/>
  <c r="T6" i="4"/>
  <c r="V5" i="4"/>
  <c r="X5" i="4"/>
  <c r="W6" i="4"/>
  <c r="U7" i="4"/>
  <c r="V7" i="4"/>
  <c r="X7" i="4"/>
  <c r="V8" i="4"/>
  <c r="X8" i="4"/>
  <c r="U11" i="4"/>
  <c r="W11" i="4"/>
  <c r="V12" i="4"/>
  <c r="V13" i="4"/>
  <c r="X13" i="4"/>
  <c r="V14" i="4"/>
  <c r="X14" i="4"/>
  <c r="U20" i="4"/>
  <c r="V20" i="4"/>
  <c r="X20" i="4"/>
  <c r="U21" i="4"/>
  <c r="V21" i="4"/>
  <c r="W21" i="4"/>
  <c r="U22" i="4"/>
  <c r="V22" i="4"/>
  <c r="W22" i="4"/>
  <c r="X22" i="4"/>
  <c r="U23" i="4"/>
  <c r="V23" i="4"/>
  <c r="W23" i="4"/>
  <c r="X23" i="4"/>
  <c r="V24" i="4"/>
  <c r="W24" i="4"/>
  <c r="X24" i="4"/>
  <c r="U25" i="4"/>
  <c r="V25" i="4"/>
  <c r="W25" i="4"/>
  <c r="X25" i="4"/>
  <c r="U26" i="4"/>
  <c r="V26" i="4"/>
  <c r="W26" i="4"/>
  <c r="X26" i="4"/>
  <c r="U27" i="4"/>
  <c r="V27" i="4"/>
  <c r="W27" i="4"/>
  <c r="X27" i="4"/>
  <c r="U28" i="4"/>
  <c r="V28" i="4"/>
  <c r="W28" i="4"/>
  <c r="X28" i="4"/>
  <c r="U29" i="4"/>
  <c r="V29" i="4"/>
  <c r="W29" i="4"/>
  <c r="X29" i="4"/>
  <c r="U35" i="4"/>
  <c r="V35" i="4"/>
  <c r="W35" i="4"/>
  <c r="X35" i="4"/>
  <c r="U36" i="4"/>
  <c r="V36" i="4"/>
  <c r="W36" i="4"/>
  <c r="X36" i="4"/>
  <c r="U37" i="4"/>
  <c r="V37" i="4"/>
  <c r="W37" i="4"/>
  <c r="X37" i="4"/>
  <c r="U38" i="4"/>
  <c r="V38" i="4"/>
  <c r="W38" i="4"/>
  <c r="X38" i="4"/>
  <c r="U39" i="4"/>
  <c r="V39" i="4"/>
  <c r="W39" i="4"/>
  <c r="X39" i="4"/>
  <c r="U40" i="4"/>
  <c r="V40" i="4"/>
  <c r="W40" i="4"/>
  <c r="X40" i="4"/>
  <c r="U41" i="4"/>
  <c r="V41" i="4"/>
  <c r="W41" i="4"/>
  <c r="X41" i="4"/>
  <c r="U42" i="4"/>
  <c r="V42" i="4"/>
  <c r="W42" i="4"/>
  <c r="X42" i="4"/>
  <c r="U43" i="4"/>
  <c r="V43" i="4"/>
  <c r="W43" i="4"/>
  <c r="X43" i="4"/>
  <c r="U44" i="4"/>
  <c r="V44" i="4"/>
  <c r="W44" i="4"/>
  <c r="X44" i="4"/>
  <c r="U5" i="4"/>
  <c r="W5" i="4"/>
  <c r="U6" i="4"/>
  <c r="V6" i="4"/>
  <c r="X6" i="4"/>
  <c r="W7" i="4"/>
  <c r="U8" i="4"/>
  <c r="W8" i="4"/>
  <c r="U9" i="4"/>
  <c r="V9" i="4"/>
  <c r="W9" i="4"/>
  <c r="X9" i="4"/>
  <c r="V10" i="4"/>
  <c r="W10" i="4"/>
  <c r="X10" i="4"/>
  <c r="V11" i="4"/>
  <c r="X11" i="4"/>
  <c r="U12" i="4"/>
  <c r="W12" i="4"/>
  <c r="X12" i="4"/>
  <c r="U13" i="4"/>
  <c r="W13" i="4"/>
  <c r="U14" i="4"/>
  <c r="W14" i="4"/>
  <c r="W20" i="4"/>
  <c r="X21" i="4"/>
  <c r="U24" i="4"/>
  <c r="U10" i="4"/>
  <c r="J3" i="6"/>
  <c r="J7" i="6" s="1"/>
  <c r="B14" i="6" s="1"/>
  <c r="B17" i="6" s="1"/>
  <c r="F10" i="6"/>
  <c r="F14" i="6"/>
  <c r="T24" i="4"/>
  <c r="Y24" i="4" s="1"/>
  <c r="I8" i="5" s="1"/>
  <c r="T5" i="4"/>
  <c r="Y5" i="4" s="1"/>
  <c r="D4" i="5" s="1"/>
  <c r="T41" i="4"/>
  <c r="Y41" i="4" s="1"/>
  <c r="N10" i="5" s="1"/>
  <c r="T10" i="4"/>
  <c r="Y10" i="4" s="1"/>
  <c r="D9" i="5" s="1"/>
  <c r="L51" i="4" l="1"/>
  <c r="M51" i="4" s="1"/>
  <c r="N13" i="5"/>
  <c r="L50" i="4"/>
  <c r="M50" i="4" s="1"/>
  <c r="I13" i="5"/>
  <c r="M23" i="5"/>
  <c r="R22" i="5"/>
  <c r="R23" i="5" s="1"/>
  <c r="Y14" i="4"/>
  <c r="Y13" i="4"/>
  <c r="D12" i="5" s="1"/>
  <c r="Y12" i="4"/>
  <c r="D11" i="5" s="1"/>
  <c r="Y11" i="4"/>
  <c r="D10" i="5" s="1"/>
  <c r="Y9" i="4"/>
  <c r="D8" i="5" s="1"/>
  <c r="Y8" i="4"/>
  <c r="D7" i="5" s="1"/>
  <c r="Y7" i="4"/>
  <c r="D6" i="5" s="1"/>
  <c r="Y6" i="4"/>
  <c r="D5" i="5" s="1"/>
  <c r="D13" i="5" l="1"/>
  <c r="L49" i="4"/>
  <c r="M49" i="4" l="1"/>
  <c r="M52" i="4"/>
  <c r="M54" i="4" s="1"/>
  <c r="M53" i="4"/>
</calcChain>
</file>

<file path=xl/sharedStrings.xml><?xml version="1.0" encoding="utf-8"?>
<sst xmlns="http://schemas.openxmlformats.org/spreadsheetml/2006/main" count="171" uniqueCount="68">
  <si>
    <t>Muestra</t>
  </si>
  <si>
    <t>Tiempo [min]</t>
  </si>
  <si>
    <t>Pellets/g</t>
  </si>
  <si>
    <t>m</t>
  </si>
  <si>
    <t>s</t>
  </si>
  <si>
    <t>Diametro [mm] Microscopio</t>
  </si>
  <si>
    <t>Espesor [mm] Microscopio</t>
  </si>
  <si>
    <t>Densidad 00 [g/ml]</t>
  </si>
  <si>
    <t>Densidad 0 [g/ml]</t>
  </si>
  <si>
    <t>Final</t>
  </si>
  <si>
    <t>Lote 1</t>
  </si>
  <si>
    <t>Conteo de pellet/g</t>
  </si>
  <si>
    <t>Ganancia en peso [g]</t>
  </si>
  <si>
    <t>% de Ganancia</t>
  </si>
  <si>
    <t>Tiempo</t>
  </si>
  <si>
    <t>Desnudo</t>
  </si>
  <si>
    <t>Lote 2</t>
  </si>
  <si>
    <t>Lote 3</t>
  </si>
  <si>
    <t>Peso núcleo de azúcar [g]</t>
  </si>
  <si>
    <t>Lote</t>
  </si>
  <si>
    <t>Ganancia final</t>
  </si>
  <si>
    <t>h</t>
  </si>
  <si>
    <t>Promedio</t>
  </si>
  <si>
    <t>Desviación E</t>
  </si>
  <si>
    <r>
      <rPr>
        <b/>
        <sz val="11"/>
        <color theme="1"/>
        <rFont val="Symbol"/>
        <family val="1"/>
        <charset val="2"/>
      </rPr>
      <t>h</t>
    </r>
    <r>
      <rPr>
        <b/>
        <sz val="11"/>
        <color theme="1"/>
        <rFont val="Aptos Narrow"/>
        <family val="2"/>
      </rPr>
      <t xml:space="preserve"> promedio</t>
    </r>
  </si>
  <si>
    <t>%Ganancia</t>
  </si>
  <si>
    <t>Diametro [mm]</t>
  </si>
  <si>
    <r>
      <rPr>
        <b/>
        <sz val="10"/>
        <color theme="1"/>
        <rFont val="Symbol"/>
        <family val="1"/>
        <charset val="2"/>
      </rPr>
      <t>e</t>
    </r>
    <r>
      <rPr>
        <b/>
        <sz val="10"/>
        <color theme="1"/>
        <rFont val="Aptos Narrow"/>
        <family val="2"/>
      </rPr>
      <t xml:space="preserve">                [mm]</t>
    </r>
  </si>
  <si>
    <r>
      <rPr>
        <b/>
        <sz val="10"/>
        <color theme="1"/>
        <rFont val="Symbol"/>
        <family val="1"/>
        <charset val="2"/>
      </rPr>
      <t>r</t>
    </r>
    <r>
      <rPr>
        <b/>
        <sz val="10"/>
        <color theme="1"/>
        <rFont val="Aptos Narrow"/>
        <family val="2"/>
      </rPr>
      <t xml:space="preserve">                [g/ml]</t>
    </r>
  </si>
  <si>
    <r>
      <rPr>
        <b/>
        <sz val="10"/>
        <color theme="1"/>
        <rFont val="Symbol"/>
        <family val="1"/>
        <charset val="2"/>
      </rPr>
      <t>e</t>
    </r>
    <r>
      <rPr>
        <b/>
        <sz val="10"/>
        <color theme="1"/>
        <rFont val="Aptos Narrow"/>
        <family val="2"/>
      </rPr>
      <t xml:space="preserve">                [mm]</t>
    </r>
  </si>
  <si>
    <r>
      <rPr>
        <b/>
        <sz val="10"/>
        <color theme="1"/>
        <rFont val="Symbol"/>
        <family val="1"/>
        <charset val="2"/>
      </rPr>
      <t>r</t>
    </r>
    <r>
      <rPr>
        <b/>
        <sz val="10"/>
        <color theme="1"/>
        <rFont val="Aptos Narrow"/>
        <family val="2"/>
      </rPr>
      <t xml:space="preserve">                [g/ml]</t>
    </r>
  </si>
  <si>
    <r>
      <rPr>
        <b/>
        <sz val="10"/>
        <color theme="1"/>
        <rFont val="Symbol"/>
        <family val="1"/>
        <charset val="2"/>
      </rPr>
      <t>e</t>
    </r>
    <r>
      <rPr>
        <b/>
        <sz val="10"/>
        <color theme="1"/>
        <rFont val="Aptos Narrow"/>
        <family val="2"/>
      </rPr>
      <t xml:space="preserve">                [mm]</t>
    </r>
  </si>
  <si>
    <r>
      <rPr>
        <b/>
        <sz val="10"/>
        <color theme="1"/>
        <rFont val="Symbol"/>
        <family val="1"/>
        <charset val="2"/>
      </rPr>
      <t>r</t>
    </r>
    <r>
      <rPr>
        <b/>
        <sz val="10"/>
        <color theme="1"/>
        <rFont val="Aptos Narrow"/>
        <family val="2"/>
      </rPr>
      <t xml:space="preserve">                [g/ml]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</si>
  <si>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</rPr>
      <t>_s [g/mm3]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</si>
  <si>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</rPr>
      <t>_p [g/mm3]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</si>
  <si>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</rPr>
      <t>_d [g/mm3]</t>
    </r>
  </si>
  <si>
    <t>Do [mm]</t>
  </si>
  <si>
    <r>
      <rPr>
        <b/>
        <sz val="11"/>
        <color theme="1"/>
        <rFont val="Symbol"/>
        <family val="1"/>
        <charset val="2"/>
      </rPr>
      <t>e</t>
    </r>
    <r>
      <rPr>
        <b/>
        <sz val="11"/>
        <color theme="1"/>
        <rFont val="Aptos Narrow"/>
        <family val="2"/>
      </rPr>
      <t xml:space="preserve"> [mm]</t>
    </r>
  </si>
  <si>
    <r>
      <rPr>
        <b/>
        <sz val="11"/>
        <color theme="1"/>
        <rFont val="Symbol"/>
        <family val="1"/>
        <charset val="2"/>
      </rPr>
      <t>e</t>
    </r>
    <r>
      <rPr>
        <b/>
        <sz val="11"/>
        <color theme="1"/>
        <rFont val="Aptos Narrow"/>
        <family val="2"/>
      </rPr>
      <t xml:space="preserve"> [mm]</t>
    </r>
  </si>
  <si>
    <t>mc_teo [g]</t>
  </si>
  <si>
    <t>mc_exp [g]</t>
  </si>
  <si>
    <t>%ERROR</t>
  </si>
  <si>
    <t>r</t>
  </si>
  <si>
    <t>V</t>
  </si>
  <si>
    <t>Medición</t>
  </si>
  <si>
    <t>Max</t>
  </si>
  <si>
    <t>Min</t>
  </si>
  <si>
    <t>Rango</t>
  </si>
  <si>
    <t>Media de medias</t>
  </si>
  <si>
    <t>Rango promedio</t>
  </si>
  <si>
    <t>ES</t>
  </si>
  <si>
    <t>Cpi</t>
  </si>
  <si>
    <t>Nomilanl</t>
  </si>
  <si>
    <t>Cps</t>
  </si>
  <si>
    <t>EI</t>
  </si>
  <si>
    <t>Cpk</t>
  </si>
  <si>
    <t>d2</t>
  </si>
  <si>
    <t>Ppi</t>
  </si>
  <si>
    <t>Desv. Corto</t>
  </si>
  <si>
    <t>Pps</t>
  </si>
  <si>
    <t>Desv. Largo</t>
  </si>
  <si>
    <t>Ppk</t>
  </si>
  <si>
    <t>Cp</t>
  </si>
  <si>
    <t>Pp</t>
  </si>
  <si>
    <t>P atomiz                    [bar ]</t>
  </si>
  <si>
    <t>P. aire comp         [bar]</t>
  </si>
  <si>
    <t>T. producto [°C ]</t>
  </si>
  <si>
    <t>Velocidad Aire [m/s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</si>
</sst>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E+00"/>
    <numFmt numFmtId="167" formatCode="0.0%"/>
    <numFmt numFmtId="168" formatCode="0.000%"/>
    <numFmt numFmtId="169" formatCode="0.0E+00"/>
  </numFmts>
  <fonts count="10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Noto Sans Symbols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1"/>
      <color theme="1"/>
      <name val="Symbol"/>
      <family val="1"/>
      <charset val="2"/>
    </font>
    <font>
      <b/>
      <sz val="10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F7C5F3"/>
        <bgColor rgb="FFF7C5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15" xfId="0" applyFont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3" borderId="13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1" fontId="4" fillId="0" borderId="12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1" fontId="4" fillId="0" borderId="15" xfId="0" applyNumberFormat="1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167" fontId="4" fillId="0" borderId="12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27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2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1" fontId="4" fillId="0" borderId="26" xfId="0" applyNumberFormat="1" applyFont="1" applyBorder="1" applyAlignment="1">
      <alignment horizontal="center"/>
    </xf>
    <xf numFmtId="11" fontId="4" fillId="0" borderId="20" xfId="0" applyNumberFormat="1" applyFont="1" applyBorder="1" applyAlignment="1">
      <alignment horizontal="center"/>
    </xf>
    <xf numFmtId="166" fontId="4" fillId="0" borderId="20" xfId="0" applyNumberFormat="1" applyFont="1" applyBorder="1" applyAlignment="1">
      <alignment horizontal="center"/>
    </xf>
    <xf numFmtId="167" fontId="4" fillId="0" borderId="26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25" xfId="0" applyNumberFormat="1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4" fillId="0" borderId="0" xfId="0" applyNumberFormat="1" applyFont="1"/>
    <xf numFmtId="10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0" fontId="4" fillId="0" borderId="0" xfId="0" applyNumberFormat="1" applyFont="1"/>
    <xf numFmtId="10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0" borderId="0" xfId="0" applyNumberFormat="1" applyFont="1"/>
    <xf numFmtId="168" fontId="4" fillId="0" borderId="8" xfId="0" applyNumberFormat="1" applyFont="1" applyBorder="1" applyAlignment="1">
      <alignment horizontal="center"/>
    </xf>
    <xf numFmtId="0" fontId="1" fillId="0" borderId="0" xfId="0" applyFont="1"/>
    <xf numFmtId="0" fontId="4" fillId="0" borderId="1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4" fontId="6" fillId="0" borderId="29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30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/>
    </xf>
    <xf numFmtId="164" fontId="4" fillId="0" borderId="20" xfId="0" applyNumberFormat="1" applyFont="1" applyBorder="1"/>
    <xf numFmtId="164" fontId="4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9" fontId="4" fillId="0" borderId="0" xfId="0" applyNumberFormat="1" applyFont="1" applyAlignment="1">
      <alignment horizontal="center"/>
    </xf>
    <xf numFmtId="11" fontId="4" fillId="0" borderId="0" xfId="0" applyNumberFormat="1" applyFont="1"/>
    <xf numFmtId="9" fontId="4" fillId="0" borderId="8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0" xfId="0" applyNumberFormat="1" applyFont="1"/>
    <xf numFmtId="164" fontId="4" fillId="0" borderId="0" xfId="0" applyNumberFormat="1" applyFont="1"/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wrapText="1"/>
    </xf>
    <xf numFmtId="0" fontId="4" fillId="0" borderId="25" xfId="0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2" xfId="0" applyFont="1" applyBorder="1"/>
    <xf numFmtId="165" fontId="4" fillId="0" borderId="27" xfId="0" applyNumberFormat="1" applyFont="1" applyBorder="1" applyAlignment="1">
      <alignment horizontal="center"/>
    </xf>
    <xf numFmtId="0" fontId="1" fillId="0" borderId="15" xfId="0" applyFont="1" applyBorder="1"/>
    <xf numFmtId="165" fontId="4" fillId="0" borderId="29" xfId="0" applyNumberFormat="1" applyFont="1" applyBorder="1" applyAlignment="1">
      <alignment horizontal="center"/>
    </xf>
    <xf numFmtId="0" fontId="1" fillId="0" borderId="9" xfId="0" applyFont="1" applyBorder="1"/>
    <xf numFmtId="0" fontId="1" fillId="5" borderId="32" xfId="0" applyFont="1" applyFill="1" applyBorder="1"/>
    <xf numFmtId="165" fontId="4" fillId="5" borderId="33" xfId="0" applyNumberFormat="1" applyFont="1" applyFill="1" applyBorder="1" applyAlignment="1">
      <alignment horizontal="center"/>
    </xf>
    <xf numFmtId="165" fontId="4" fillId="0" borderId="30" xfId="0" applyNumberFormat="1" applyFont="1" applyBorder="1" applyAlignment="1">
      <alignment horizontal="center"/>
    </xf>
    <xf numFmtId="0" fontId="1" fillId="5" borderId="34" xfId="0" applyFont="1" applyFill="1" applyBorder="1"/>
    <xf numFmtId="165" fontId="4" fillId="5" borderId="35" xfId="0" applyNumberFormat="1" applyFont="1" applyFill="1" applyBorder="1" applyAlignment="1">
      <alignment horizontal="center"/>
    </xf>
    <xf numFmtId="0" fontId="1" fillId="0" borderId="29" xfId="0" applyFont="1" applyBorder="1"/>
    <xf numFmtId="0" fontId="1" fillId="0" borderId="28" xfId="0" applyFont="1" applyBorder="1" applyAlignment="1">
      <alignment horizontal="center" wrapText="1"/>
    </xf>
    <xf numFmtId="0" fontId="1" fillId="2" borderId="36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horizontal="center" wrapText="1"/>
    </xf>
    <xf numFmtId="0" fontId="4" fillId="0" borderId="39" xfId="0" applyFont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3" fillId="3" borderId="6" xfId="0" applyFont="1" applyFill="1" applyBorder="1" applyAlignment="1">
      <alignment horizontal="center" vertical="center"/>
    </xf>
    <xf numFmtId="0" fontId="2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8" xfId="0" applyFont="1" applyBorder="1"/>
    <xf numFmtId="0" fontId="1" fillId="3" borderId="16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" fillId="2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0" fontId="1" fillId="2" borderId="22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2" xfId="0" applyFont="1" applyBorder="1" applyAlignment="1">
      <alignment horizontal="center" vertical="center" wrapText="1"/>
    </xf>
    <xf numFmtId="0" fontId="2" fillId="0" borderId="9" xfId="0" applyFont="1" applyBorder="1"/>
    <xf numFmtId="0" fontId="7" fillId="0" borderId="27" xfId="0" applyFont="1" applyBorder="1" applyAlignment="1">
      <alignment horizontal="center" vertical="center" wrapText="1"/>
    </xf>
    <xf numFmtId="0" fontId="2" fillId="0" borderId="30" xfId="0" applyFont="1" applyBorder="1"/>
    <xf numFmtId="0" fontId="7" fillId="3" borderId="2" xfId="0" applyFont="1" applyFill="1" applyBorder="1" applyAlignment="1">
      <alignment horizontal="center"/>
    </xf>
    <xf numFmtId="0" fontId="2" fillId="0" borderId="31" xfId="0" applyFont="1" applyBorder="1"/>
    <xf numFmtId="0" fontId="1" fillId="0" borderId="20" xfId="0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/>
    </xf>
    <xf numFmtId="0" fontId="2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Pellets/g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1'!$H$4:$H$14</c:f>
              <c:numCache>
                <c:formatCode>General</c:formatCode>
                <c:ptCount val="11"/>
                <c:pt idx="0">
                  <c:v>1537</c:v>
                </c:pt>
                <c:pt idx="1">
                  <c:v>1493</c:v>
                </c:pt>
                <c:pt idx="2">
                  <c:v>1462</c:v>
                </c:pt>
                <c:pt idx="3">
                  <c:v>1432</c:v>
                </c:pt>
                <c:pt idx="4">
                  <c:v>1410</c:v>
                </c:pt>
                <c:pt idx="5">
                  <c:v>1406</c:v>
                </c:pt>
                <c:pt idx="6">
                  <c:v>1380</c:v>
                </c:pt>
                <c:pt idx="7">
                  <c:v>1347</c:v>
                </c:pt>
                <c:pt idx="8">
                  <c:v>1324</c:v>
                </c:pt>
                <c:pt idx="9">
                  <c:v>1301</c:v>
                </c:pt>
                <c:pt idx="10">
                  <c:v>1290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0B-49EB-9F9C-40FDB554A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918951"/>
        <c:axId val="1772206956"/>
      </c:scatterChart>
      <c:valAx>
        <c:axId val="3659189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772206956"/>
        <c:crosses val="autoZero"/>
        <c:crossBetween val="midCat"/>
        <c:majorUnit val="20"/>
      </c:valAx>
      <c:valAx>
        <c:axId val="1772206956"/>
        <c:scaling>
          <c:orientation val="minMax"/>
          <c:min val="12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Pellets / g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65918951"/>
        <c:crosses val="autoZero"/>
        <c:crossBetween val="midCat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Espesor [mm] Microscopio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1'!$R$4:$R$14</c:f>
              <c:numCache>
                <c:formatCode>0.0000</c:formatCode>
                <c:ptCount val="11"/>
                <c:pt idx="0">
                  <c:v>0</c:v>
                </c:pt>
                <c:pt idx="1">
                  <c:v>6.7000000000000002E-3</c:v>
                </c:pt>
                <c:pt idx="2">
                  <c:v>1.11E-2</c:v>
                </c:pt>
                <c:pt idx="3">
                  <c:v>1.43E-2</c:v>
                </c:pt>
                <c:pt idx="4">
                  <c:v>2.06E-2</c:v>
                </c:pt>
                <c:pt idx="5">
                  <c:v>2.12E-2</c:v>
                </c:pt>
                <c:pt idx="6">
                  <c:v>2.86E-2</c:v>
                </c:pt>
                <c:pt idx="7">
                  <c:v>4.0099999999999997E-2</c:v>
                </c:pt>
                <c:pt idx="8">
                  <c:v>4.5400000000000003E-2</c:v>
                </c:pt>
                <c:pt idx="9">
                  <c:v>5.0799999999999998E-2</c:v>
                </c:pt>
                <c:pt idx="10">
                  <c:v>5.33E-2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94-41D4-8F5B-9154FF32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752825"/>
        <c:axId val="1095801169"/>
      </c:scatterChart>
      <c:valAx>
        <c:axId val="15457528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095801169"/>
        <c:crosses val="autoZero"/>
        <c:crossBetween val="midCat"/>
        <c:majorUnit val="20"/>
      </c:valAx>
      <c:valAx>
        <c:axId val="1095801169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Espesor [mm]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4575282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Pellets/g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2'!$H$4:$H$14</c:f>
              <c:numCache>
                <c:formatCode>General</c:formatCode>
                <c:ptCount val="11"/>
                <c:pt idx="0">
                  <c:v>1537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45-4CCD-A3FA-2A8EB789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93858"/>
        <c:axId val="749462472"/>
      </c:scatterChart>
      <c:valAx>
        <c:axId val="9373938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9462472"/>
        <c:crosses val="autoZero"/>
        <c:crossBetween val="midCat"/>
        <c:majorUnit val="20"/>
      </c:valAx>
      <c:valAx>
        <c:axId val="749462472"/>
        <c:scaling>
          <c:orientation val="minMax"/>
          <c:min val="12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Pellets / g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37393858"/>
        <c:crosses val="autoZero"/>
        <c:crossBetween val="midCat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Espesor [mm] Microscopio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2'!$R$4:$R$14</c:f>
              <c:numCache>
                <c:formatCode>0.0000</c:formatCode>
                <c:ptCount val="11"/>
                <c:pt idx="0">
                  <c:v>0</c:v>
                </c:pt>
                <c:pt idx="1">
                  <c:v>6.3E-3</c:v>
                </c:pt>
                <c:pt idx="2">
                  <c:v>1.24E-2</c:v>
                </c:pt>
                <c:pt idx="3">
                  <c:v>2.2200000000000001E-2</c:v>
                </c:pt>
                <c:pt idx="4">
                  <c:v>3.4099999999999998E-2</c:v>
                </c:pt>
                <c:pt idx="5">
                  <c:v>4.1300000000000003E-2</c:v>
                </c:pt>
                <c:pt idx="6">
                  <c:v>4.8300000000000003E-2</c:v>
                </c:pt>
                <c:pt idx="7">
                  <c:v>5.28E-2</c:v>
                </c:pt>
                <c:pt idx="8">
                  <c:v>5.8700000000000002E-2</c:v>
                </c:pt>
                <c:pt idx="9">
                  <c:v>5.9299999999999999E-2</c:v>
                </c:pt>
                <c:pt idx="10">
                  <c:v>6.0299999999999999E-2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8-40DA-80C4-26FAFE3EF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73590"/>
        <c:axId val="11309116"/>
      </c:scatterChart>
      <c:valAx>
        <c:axId val="118573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309116"/>
        <c:crosses val="autoZero"/>
        <c:crossBetween val="midCat"/>
        <c:majorUnit val="20"/>
      </c:valAx>
      <c:valAx>
        <c:axId val="1130911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Espesor [mm]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857359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Pellets/g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3'!$H$4:$H$14</c:f>
              <c:numCache>
                <c:formatCode>General</c:formatCode>
                <c:ptCount val="11"/>
                <c:pt idx="0">
                  <c:v>1537</c:v>
                </c:pt>
                <c:pt idx="1">
                  <c:v>1527</c:v>
                </c:pt>
                <c:pt idx="2">
                  <c:v>1498</c:v>
                </c:pt>
                <c:pt idx="3">
                  <c:v>1479</c:v>
                </c:pt>
                <c:pt idx="4">
                  <c:v>1452</c:v>
                </c:pt>
                <c:pt idx="5">
                  <c:v>1429</c:v>
                </c:pt>
                <c:pt idx="6">
                  <c:v>1416</c:v>
                </c:pt>
                <c:pt idx="7">
                  <c:v>1377</c:v>
                </c:pt>
                <c:pt idx="8">
                  <c:v>1340</c:v>
                </c:pt>
                <c:pt idx="9">
                  <c:v>1306</c:v>
                </c:pt>
                <c:pt idx="10">
                  <c:v>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43-4C80-9BAF-525839A8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98065"/>
        <c:axId val="931886617"/>
      </c:scatterChart>
      <c:valAx>
        <c:axId val="8165980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931886617"/>
        <c:crosses val="autoZero"/>
        <c:crossBetween val="midCat"/>
        <c:majorUnit val="20"/>
      </c:valAx>
      <c:valAx>
        <c:axId val="931886617"/>
        <c:scaling>
          <c:orientation val="minMax"/>
          <c:min val="12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Pellets / g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16598065"/>
        <c:crosses val="autoZero"/>
        <c:crossBetween val="midCat"/>
        <c:majorUnit val="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Espesor [mm] Microscopio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3'!$R$4:$R$14</c:f>
              <c:numCache>
                <c:formatCode>0.0000</c:formatCode>
                <c:ptCount val="11"/>
                <c:pt idx="0">
                  <c:v>0</c:v>
                </c:pt>
                <c:pt idx="1">
                  <c:v>6.3E-3</c:v>
                </c:pt>
                <c:pt idx="2">
                  <c:v>1.11E-2</c:v>
                </c:pt>
                <c:pt idx="3">
                  <c:v>1.5900000000000001E-2</c:v>
                </c:pt>
                <c:pt idx="4">
                  <c:v>2.2700000000000001E-2</c:v>
                </c:pt>
                <c:pt idx="5">
                  <c:v>2.93E-2</c:v>
                </c:pt>
                <c:pt idx="6">
                  <c:v>3.4799999999999998E-2</c:v>
                </c:pt>
                <c:pt idx="7">
                  <c:v>4.02E-2</c:v>
                </c:pt>
                <c:pt idx="8">
                  <c:v>4.5999999999999999E-2</c:v>
                </c:pt>
                <c:pt idx="9">
                  <c:v>5.28E-2</c:v>
                </c:pt>
                <c:pt idx="10">
                  <c:v>5.5300000000000002E-2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F5-450E-A528-2D1F1D353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173984"/>
        <c:axId val="1996028484"/>
      </c:scatterChart>
      <c:valAx>
        <c:axId val="14311739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96028484"/>
        <c:crosses val="autoZero"/>
        <c:crossBetween val="midCat"/>
        <c:majorUnit val="20"/>
      </c:valAx>
      <c:valAx>
        <c:axId val="199602848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Espesor [mm]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311739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7941369852785108"/>
          <c:y val="0.11709547207540359"/>
          <c:w val="0.78196967298101228"/>
          <c:h val="0.68029299684819733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'%Ganancia'!$S$4:$S$14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'%Ganancia'!$Y$4:$Y$14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2.9893292036764323E-2</c:v>
                </c:pt>
                <c:pt idx="2">
                  <c:v>5.2056910772081667E-2</c:v>
                </c:pt>
                <c:pt idx="3">
                  <c:v>7.3910897161835451E-2</c:v>
                </c:pt>
                <c:pt idx="4">
                  <c:v>9.045339419977369E-2</c:v>
                </c:pt>
                <c:pt idx="5">
                  <c:v>9.3659553277945146E-2</c:v>
                </c:pt>
                <c:pt idx="6">
                  <c:v>0.11367561455989791</c:v>
                </c:pt>
                <c:pt idx="7">
                  <c:v>0.14091959274626142</c:v>
                </c:pt>
                <c:pt idx="8">
                  <c:v>0.16206109764795767</c:v>
                </c:pt>
                <c:pt idx="9">
                  <c:v>0.18183553303764963</c:v>
                </c:pt>
                <c:pt idx="10" formatCode="0.00%">
                  <c:v>0.19183952953545083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C6-4607-A7BB-AC0F731A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52691"/>
        <c:axId val="1822445273"/>
      </c:scatterChart>
      <c:valAx>
        <c:axId val="1341552691"/>
        <c:scaling>
          <c:orientation val="minMax"/>
          <c:max val="22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0" i="0">
                    <a:solidFill>
                      <a:srgbClr val="000000"/>
                    </a:solidFill>
                    <a:latin typeface="+mn-lt"/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16303175240778"/>
              <c:y val="0.904016516763856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22445273"/>
        <c:crosses val="autoZero"/>
        <c:crossBetween val="midCat"/>
        <c:majorUnit val="20"/>
      </c:valAx>
      <c:valAx>
        <c:axId val="1822445273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%Ganancia en peso</a:t>
                </a:r>
              </a:p>
            </c:rich>
          </c:tx>
          <c:layout>
            <c:manualLayout>
              <c:xMode val="edge"/>
              <c:yMode val="edge"/>
              <c:x val="2.1981868870223249E-2"/>
              <c:y val="0.38310165793046813"/>
            </c:manualLayout>
          </c:layout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4155269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Resumen!$C$3:$C$13</c:f>
              <c:numCache>
                <c:formatCode>General</c:formatCode>
                <c:ptCount val="11"/>
                <c:pt idx="0">
                  <c:v>1537</c:v>
                </c:pt>
                <c:pt idx="1">
                  <c:v>1493</c:v>
                </c:pt>
                <c:pt idx="2">
                  <c:v>1462</c:v>
                </c:pt>
                <c:pt idx="3">
                  <c:v>1432</c:v>
                </c:pt>
                <c:pt idx="4">
                  <c:v>1410</c:v>
                </c:pt>
                <c:pt idx="5">
                  <c:v>1406</c:v>
                </c:pt>
                <c:pt idx="6">
                  <c:v>1380</c:v>
                </c:pt>
                <c:pt idx="7">
                  <c:v>1347</c:v>
                </c:pt>
                <c:pt idx="8">
                  <c:v>1324</c:v>
                </c:pt>
                <c:pt idx="9">
                  <c:v>1301</c:v>
                </c:pt>
                <c:pt idx="10">
                  <c:v>1290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1-43EA-A6D7-300F59EF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106539"/>
        <c:axId val="551248419"/>
      </c:scatterChart>
      <c:valAx>
        <c:axId val="16431065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551248419"/>
        <c:crosses val="autoZero"/>
        <c:crossBetween val="midCat"/>
        <c:majorUnit val="20"/>
      </c:valAx>
      <c:valAx>
        <c:axId val="551248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Pellets/g</a:t>
                </a:r>
              </a:p>
            </c:rich>
          </c:tx>
          <c:layout>
            <c:manualLayout>
              <c:xMode val="edge"/>
              <c:yMode val="edge"/>
              <c:x val="2.3003941850442123E-2"/>
              <c:y val="0.3548283027121609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431065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Espesor-Ganancia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(Espesor-Ganancia)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Resumen!$F$3:$F$13</c:f>
              <c:numCache>
                <c:formatCode>0.0000</c:formatCode>
                <c:ptCount val="11"/>
                <c:pt idx="0">
                  <c:v>0</c:v>
                </c:pt>
                <c:pt idx="1">
                  <c:v>6.7000000000000002E-3</c:v>
                </c:pt>
                <c:pt idx="2">
                  <c:v>1.11E-2</c:v>
                </c:pt>
                <c:pt idx="3">
                  <c:v>1.43E-2</c:v>
                </c:pt>
                <c:pt idx="4">
                  <c:v>2.06E-2</c:v>
                </c:pt>
                <c:pt idx="5">
                  <c:v>2.12E-2</c:v>
                </c:pt>
                <c:pt idx="6">
                  <c:v>2.86E-2</c:v>
                </c:pt>
                <c:pt idx="7">
                  <c:v>4.0099999999999997E-2</c:v>
                </c:pt>
                <c:pt idx="8">
                  <c:v>4.5400000000000003E-2</c:v>
                </c:pt>
                <c:pt idx="9">
                  <c:v>5.0799999999999998E-2</c:v>
                </c:pt>
                <c:pt idx="10">
                  <c:v>5.33E-2</c:v>
                </c:pt>
              </c:numCache>
            </c:numRef>
          </c:xVal>
          <c:yVal>
            <c:numRef>
              <c:f>Resumen!$D$3:$D$13</c:f>
              <c:numCache>
                <c:formatCode>0.00%</c:formatCode>
                <c:ptCount val="11"/>
                <c:pt idx="0">
                  <c:v>0</c:v>
                </c:pt>
                <c:pt idx="1">
                  <c:v>2.9893292036764323E-2</c:v>
                </c:pt>
                <c:pt idx="2">
                  <c:v>5.2056910772081667E-2</c:v>
                </c:pt>
                <c:pt idx="3">
                  <c:v>7.3910897161835451E-2</c:v>
                </c:pt>
                <c:pt idx="4">
                  <c:v>9.045339419977369E-2</c:v>
                </c:pt>
                <c:pt idx="5">
                  <c:v>9.3659553277945146E-2</c:v>
                </c:pt>
                <c:pt idx="6">
                  <c:v>0.11367561455989791</c:v>
                </c:pt>
                <c:pt idx="7">
                  <c:v>0.14091959274626142</c:v>
                </c:pt>
                <c:pt idx="8">
                  <c:v>0.16206109764795767</c:v>
                </c:pt>
                <c:pt idx="9">
                  <c:v>0.18183553303764963</c:v>
                </c:pt>
                <c:pt idx="10">
                  <c:v>0.19183952953545083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1-4BCB-904E-A81BAC93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38467"/>
        <c:axId val="1539571825"/>
      </c:scatterChart>
      <c:valAx>
        <c:axId val="7904384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0" i="0">
                    <a:solidFill>
                      <a:srgbClr val="000000"/>
                    </a:solidFill>
                    <a:latin typeface="+mn-lt"/>
                  </a:rPr>
                  <a:t>Espesor [mm]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539571825"/>
        <c:crosses val="autoZero"/>
        <c:crossBetween val="midCat"/>
      </c:valAx>
      <c:valAx>
        <c:axId val="1539571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0" i="0">
                    <a:solidFill>
                      <a:srgbClr val="000000"/>
                    </a:solidFill>
                    <a:latin typeface="+mn-lt"/>
                  </a:rPr>
                  <a:t>%Ganancia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904384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lineMarker"/>
        <c:varyColors val="1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Resumen!$G$3:$G$13</c:f>
              <c:numCache>
                <c:formatCode>0.0000</c:formatCode>
                <c:ptCount val="11"/>
                <c:pt idx="0">
                  <c:v>0.89990000000000003</c:v>
                </c:pt>
                <c:pt idx="1">
                  <c:v>0.90127828054298631</c:v>
                </c:pt>
                <c:pt idx="2">
                  <c:v>0.92430187459599211</c:v>
                </c:pt>
                <c:pt idx="3">
                  <c:v>0.93414188752424043</c:v>
                </c:pt>
                <c:pt idx="4">
                  <c:v>0.94063994828700714</c:v>
                </c:pt>
                <c:pt idx="5">
                  <c:v>0.94676308985132507</c:v>
                </c:pt>
                <c:pt idx="6">
                  <c:v>0.95851486748545567</c:v>
                </c:pt>
                <c:pt idx="7">
                  <c:v>0.96141402714932112</c:v>
                </c:pt>
                <c:pt idx="8">
                  <c:v>0.96692146089204889</c:v>
                </c:pt>
                <c:pt idx="9">
                  <c:v>0.97381706528765355</c:v>
                </c:pt>
                <c:pt idx="10">
                  <c:v>0.99603425985778915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7-4475-A0D7-B253C1E77AC8}"/>
            </c:ext>
          </c:extLst>
        </c:ser>
        <c:ser>
          <c:idx val="1"/>
          <c:order val="1"/>
          <c:tx>
            <c:v>Lote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Resumen!$L$3:$L$13</c:f>
              <c:numCache>
                <c:formatCode>0.0000</c:formatCode>
                <c:ptCount val="11"/>
                <c:pt idx="0">
                  <c:v>0.89671666666666672</c:v>
                </c:pt>
                <c:pt idx="1">
                  <c:v>0.90070000000000006</c:v>
                </c:pt>
                <c:pt idx="2">
                  <c:v>0.92030000000000001</c:v>
                </c:pt>
                <c:pt idx="3">
                  <c:v>0.92864999999999986</c:v>
                </c:pt>
                <c:pt idx="4">
                  <c:v>0.94063333333333343</c:v>
                </c:pt>
                <c:pt idx="5">
                  <c:v>0.94668333333333321</c:v>
                </c:pt>
                <c:pt idx="6">
                  <c:v>0.95860000000000001</c:v>
                </c:pt>
                <c:pt idx="7">
                  <c:v>0.96283333333333321</c:v>
                </c:pt>
                <c:pt idx="8">
                  <c:v>0.97176666666666678</c:v>
                </c:pt>
                <c:pt idx="9">
                  <c:v>0.97881666666666656</c:v>
                </c:pt>
                <c:pt idx="10">
                  <c:v>0.99154999999999982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17-4475-A0D7-B253C1E77AC8}"/>
            </c:ext>
          </c:extLst>
        </c:ser>
        <c:ser>
          <c:idx val="2"/>
          <c:order val="2"/>
          <c:tx>
            <c:v>Lote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Resumen!$Q$3:$Q$13</c:f>
              <c:numCache>
                <c:formatCode>0.0000</c:formatCode>
                <c:ptCount val="11"/>
                <c:pt idx="0">
                  <c:v>0.89483333333333326</c:v>
                </c:pt>
                <c:pt idx="1">
                  <c:v>0.9049666666666667</c:v>
                </c:pt>
                <c:pt idx="2">
                  <c:v>0.91533333333333333</c:v>
                </c:pt>
                <c:pt idx="3">
                  <c:v>0.92518333333333347</c:v>
                </c:pt>
                <c:pt idx="4">
                  <c:v>0.93541666666666667</c:v>
                </c:pt>
                <c:pt idx="5">
                  <c:v>0.94358333333333322</c:v>
                </c:pt>
                <c:pt idx="6">
                  <c:v>0.95281666666666665</c:v>
                </c:pt>
                <c:pt idx="7">
                  <c:v>0.96096666666666675</c:v>
                </c:pt>
                <c:pt idx="8">
                  <c:v>0.96948333333333336</c:v>
                </c:pt>
                <c:pt idx="9">
                  <c:v>0.97471666666666656</c:v>
                </c:pt>
                <c:pt idx="10">
                  <c:v>0.98999999999999988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17-4475-A0D7-B253C1E7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638090"/>
        <c:axId val="2040747854"/>
      </c:scatterChart>
      <c:valAx>
        <c:axId val="14616380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040747854"/>
        <c:crosses val="autoZero"/>
        <c:crossBetween val="midCat"/>
        <c:majorUnit val="20"/>
      </c:valAx>
      <c:valAx>
        <c:axId val="2040747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Densidad  [g/mL]</a:t>
                </a:r>
              </a:p>
            </c:rich>
          </c:tx>
          <c:layout>
            <c:manualLayout>
              <c:xMode val="edge"/>
              <c:yMode val="edge"/>
              <c:x val="2.3003941850442123E-2"/>
              <c:y val="0.35482830271216098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46163809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688873767322296"/>
          <c:y val="0.768134660250802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lineMarker"/>
        <c:varyColors val="1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Resumen!$F$3:$F$13</c:f>
              <c:numCache>
                <c:formatCode>0.0000</c:formatCode>
                <c:ptCount val="11"/>
                <c:pt idx="0">
                  <c:v>0</c:v>
                </c:pt>
                <c:pt idx="1">
                  <c:v>6.7000000000000002E-3</c:v>
                </c:pt>
                <c:pt idx="2">
                  <c:v>1.11E-2</c:v>
                </c:pt>
                <c:pt idx="3">
                  <c:v>1.43E-2</c:v>
                </c:pt>
                <c:pt idx="4">
                  <c:v>2.06E-2</c:v>
                </c:pt>
                <c:pt idx="5">
                  <c:v>2.12E-2</c:v>
                </c:pt>
                <c:pt idx="6">
                  <c:v>2.86E-2</c:v>
                </c:pt>
                <c:pt idx="7">
                  <c:v>4.0099999999999997E-2</c:v>
                </c:pt>
                <c:pt idx="8">
                  <c:v>4.5400000000000003E-2</c:v>
                </c:pt>
                <c:pt idx="9">
                  <c:v>5.0799999999999998E-2</c:v>
                </c:pt>
                <c:pt idx="10">
                  <c:v>5.33E-2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7-4C9D-AE5A-DB331DD3E7DE}"/>
            </c:ext>
          </c:extLst>
        </c:ser>
        <c:ser>
          <c:idx val="1"/>
          <c:order val="1"/>
          <c:tx>
            <c:v>Lote 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Resumen!$K$3:$K$13</c:f>
              <c:numCache>
                <c:formatCode>0.0000</c:formatCode>
                <c:ptCount val="11"/>
                <c:pt idx="0">
                  <c:v>0</c:v>
                </c:pt>
                <c:pt idx="1">
                  <c:v>6.3E-3</c:v>
                </c:pt>
                <c:pt idx="2">
                  <c:v>1.24E-2</c:v>
                </c:pt>
                <c:pt idx="3">
                  <c:v>2.2200000000000001E-2</c:v>
                </c:pt>
                <c:pt idx="4">
                  <c:v>3.4099999999999998E-2</c:v>
                </c:pt>
                <c:pt idx="5">
                  <c:v>4.1300000000000003E-2</c:v>
                </c:pt>
                <c:pt idx="6">
                  <c:v>4.8300000000000003E-2</c:v>
                </c:pt>
                <c:pt idx="7">
                  <c:v>5.28E-2</c:v>
                </c:pt>
                <c:pt idx="8">
                  <c:v>5.8700000000000002E-2</c:v>
                </c:pt>
                <c:pt idx="9">
                  <c:v>5.9299999999999999E-2</c:v>
                </c:pt>
                <c:pt idx="10">
                  <c:v>6.0299999999999999E-2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B7-4C9D-AE5A-DB331DD3E7DE}"/>
            </c:ext>
          </c:extLst>
        </c:ser>
        <c:ser>
          <c:idx val="2"/>
          <c:order val="2"/>
          <c:tx>
            <c:v>Lote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Resumen!$P$3:$P$13</c:f>
              <c:numCache>
                <c:formatCode>0.0000</c:formatCode>
                <c:ptCount val="11"/>
                <c:pt idx="0">
                  <c:v>0</c:v>
                </c:pt>
                <c:pt idx="1">
                  <c:v>6.3E-3</c:v>
                </c:pt>
                <c:pt idx="2">
                  <c:v>1.11E-2</c:v>
                </c:pt>
                <c:pt idx="3">
                  <c:v>1.5900000000000001E-2</c:v>
                </c:pt>
                <c:pt idx="4">
                  <c:v>2.2700000000000001E-2</c:v>
                </c:pt>
                <c:pt idx="5">
                  <c:v>2.93E-2</c:v>
                </c:pt>
                <c:pt idx="6">
                  <c:v>3.4799999999999998E-2</c:v>
                </c:pt>
                <c:pt idx="7">
                  <c:v>4.02E-2</c:v>
                </c:pt>
                <c:pt idx="8">
                  <c:v>4.5999999999999999E-2</c:v>
                </c:pt>
                <c:pt idx="9">
                  <c:v>5.28E-2</c:v>
                </c:pt>
                <c:pt idx="10">
                  <c:v>5.5300000000000002E-2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B7-4C9D-AE5A-DB331DD3E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260671"/>
        <c:axId val="1995466126"/>
      </c:scatterChart>
      <c:valAx>
        <c:axId val="13192606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de recubrimiento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995466126"/>
        <c:crosses val="autoZero"/>
        <c:crossBetween val="midCat"/>
        <c:majorUnit val="20"/>
      </c:valAx>
      <c:valAx>
        <c:axId val="1995466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Espesor  [mm]</a:t>
                </a:r>
              </a:p>
            </c:rich>
          </c:tx>
          <c:layout>
            <c:manualLayout>
              <c:xMode val="edge"/>
              <c:yMode val="edge"/>
              <c:x val="1.477355454025037E-2"/>
              <c:y val="0.21593941382327209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31926067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688873767322296"/>
          <c:y val="0.768134660250802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3358092738407698"/>
          <c:y val="5.0925925925925923E-2"/>
          <c:w val="0.82415485564304458"/>
          <c:h val="0.74102653834937304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'Parámetros proc.'!$A$3:$A$304</c:f>
              <c:numCache>
                <c:formatCode>General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</c:numCache>
            </c:numRef>
          </c:xVal>
          <c:yVal>
            <c:numRef>
              <c:f>'Parámetros proc.'!$B$3:$B$304</c:f>
              <c:numCache>
                <c:formatCode>General</c:formatCode>
                <c:ptCount val="30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3.5</c:v>
                </c:pt>
                <c:pt idx="19">
                  <c:v>3.5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3.5</c:v>
                </c:pt>
                <c:pt idx="25">
                  <c:v>3.5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3.5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3.4</c:v>
                </c:pt>
                <c:pt idx="263">
                  <c:v>3.4</c:v>
                </c:pt>
                <c:pt idx="264">
                  <c:v>3.4</c:v>
                </c:pt>
                <c:pt idx="265">
                  <c:v>3.4</c:v>
                </c:pt>
                <c:pt idx="266">
                  <c:v>3.4</c:v>
                </c:pt>
                <c:pt idx="267">
                  <c:v>3.4</c:v>
                </c:pt>
                <c:pt idx="268">
                  <c:v>3.4</c:v>
                </c:pt>
                <c:pt idx="269">
                  <c:v>3.4</c:v>
                </c:pt>
                <c:pt idx="270">
                  <c:v>3.4</c:v>
                </c:pt>
                <c:pt idx="271">
                  <c:v>3.4</c:v>
                </c:pt>
                <c:pt idx="272">
                  <c:v>3.4</c:v>
                </c:pt>
                <c:pt idx="273">
                  <c:v>3.4</c:v>
                </c:pt>
                <c:pt idx="274">
                  <c:v>3.4</c:v>
                </c:pt>
                <c:pt idx="275">
                  <c:v>3.4</c:v>
                </c:pt>
                <c:pt idx="276">
                  <c:v>3.4</c:v>
                </c:pt>
                <c:pt idx="277">
                  <c:v>3.4</c:v>
                </c:pt>
                <c:pt idx="278">
                  <c:v>3.4</c:v>
                </c:pt>
                <c:pt idx="279">
                  <c:v>3.4</c:v>
                </c:pt>
                <c:pt idx="280">
                  <c:v>3.4</c:v>
                </c:pt>
                <c:pt idx="281">
                  <c:v>3.4</c:v>
                </c:pt>
                <c:pt idx="282">
                  <c:v>3.4</c:v>
                </c:pt>
                <c:pt idx="283">
                  <c:v>3.4</c:v>
                </c:pt>
                <c:pt idx="284">
                  <c:v>3.4</c:v>
                </c:pt>
                <c:pt idx="285">
                  <c:v>3.4</c:v>
                </c:pt>
                <c:pt idx="286">
                  <c:v>3.4</c:v>
                </c:pt>
                <c:pt idx="287">
                  <c:v>3.4</c:v>
                </c:pt>
                <c:pt idx="288">
                  <c:v>3.4</c:v>
                </c:pt>
                <c:pt idx="289">
                  <c:v>3.4</c:v>
                </c:pt>
                <c:pt idx="290">
                  <c:v>3.4</c:v>
                </c:pt>
                <c:pt idx="291">
                  <c:v>3.4</c:v>
                </c:pt>
                <c:pt idx="292">
                  <c:v>3.4</c:v>
                </c:pt>
                <c:pt idx="293">
                  <c:v>3.4</c:v>
                </c:pt>
                <c:pt idx="294">
                  <c:v>3.4</c:v>
                </c:pt>
                <c:pt idx="295">
                  <c:v>3.4</c:v>
                </c:pt>
                <c:pt idx="296">
                  <c:v>3.4</c:v>
                </c:pt>
                <c:pt idx="297">
                  <c:v>3.4</c:v>
                </c:pt>
                <c:pt idx="298">
                  <c:v>3.4</c:v>
                </c:pt>
                <c:pt idx="299">
                  <c:v>3.4</c:v>
                </c:pt>
                <c:pt idx="300">
                  <c:v>3.4</c:v>
                </c:pt>
                <c:pt idx="301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0F-48E4-AA7C-4453782A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650310"/>
        <c:axId val="434242698"/>
      </c:scatterChart>
      <c:valAx>
        <c:axId val="762650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34242698"/>
        <c:crosses val="autoZero"/>
        <c:crossBetween val="midCat"/>
        <c:majorUnit val="20"/>
      </c:valAx>
      <c:valAx>
        <c:axId val="43424269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Presión atomización [bar]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64251603966170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626503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062467191601051"/>
          <c:y val="0.5320235491396908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3358092738407698"/>
          <c:y val="5.0925925925925923E-2"/>
          <c:w val="0.83075240594925637"/>
          <c:h val="0.74102653834937304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'Parámetros proc.'!$A$3:$A$304</c:f>
              <c:numCache>
                <c:formatCode>General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</c:numCache>
            </c:numRef>
          </c:xVal>
          <c:yVal>
            <c:numRef>
              <c:f>'Parámetros proc.'!$C$3:$C$304</c:f>
              <c:numCache>
                <c:formatCode>General</c:formatCode>
                <c:ptCount val="302"/>
                <c:pt idx="0">
                  <c:v>6</c:v>
                </c:pt>
                <c:pt idx="1">
                  <c:v>5.9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6.2</c:v>
                </c:pt>
                <c:pt idx="8">
                  <c:v>6.2</c:v>
                </c:pt>
                <c:pt idx="9">
                  <c:v>5.8</c:v>
                </c:pt>
                <c:pt idx="10">
                  <c:v>6.3</c:v>
                </c:pt>
                <c:pt idx="11">
                  <c:v>6.3</c:v>
                </c:pt>
                <c:pt idx="12">
                  <c:v>6.2</c:v>
                </c:pt>
                <c:pt idx="13">
                  <c:v>6</c:v>
                </c:pt>
                <c:pt idx="14">
                  <c:v>5.8</c:v>
                </c:pt>
                <c:pt idx="15">
                  <c:v>6.3</c:v>
                </c:pt>
                <c:pt idx="16">
                  <c:v>6.3</c:v>
                </c:pt>
                <c:pt idx="17">
                  <c:v>6.2</c:v>
                </c:pt>
                <c:pt idx="18">
                  <c:v>6</c:v>
                </c:pt>
                <c:pt idx="19">
                  <c:v>5.8</c:v>
                </c:pt>
                <c:pt idx="20">
                  <c:v>6.3</c:v>
                </c:pt>
                <c:pt idx="21">
                  <c:v>6.3</c:v>
                </c:pt>
                <c:pt idx="22">
                  <c:v>6.2</c:v>
                </c:pt>
                <c:pt idx="23">
                  <c:v>6</c:v>
                </c:pt>
                <c:pt idx="24">
                  <c:v>5.8</c:v>
                </c:pt>
                <c:pt idx="25">
                  <c:v>5.4</c:v>
                </c:pt>
                <c:pt idx="26">
                  <c:v>6.3</c:v>
                </c:pt>
                <c:pt idx="27">
                  <c:v>6.1</c:v>
                </c:pt>
                <c:pt idx="28">
                  <c:v>5.9</c:v>
                </c:pt>
                <c:pt idx="29">
                  <c:v>6.2</c:v>
                </c:pt>
                <c:pt idx="30">
                  <c:v>6.3</c:v>
                </c:pt>
                <c:pt idx="31">
                  <c:v>6.2</c:v>
                </c:pt>
                <c:pt idx="32">
                  <c:v>6.1</c:v>
                </c:pt>
                <c:pt idx="33">
                  <c:v>5.9</c:v>
                </c:pt>
                <c:pt idx="34">
                  <c:v>6.2</c:v>
                </c:pt>
                <c:pt idx="35">
                  <c:v>6.3</c:v>
                </c:pt>
                <c:pt idx="36">
                  <c:v>6.2</c:v>
                </c:pt>
                <c:pt idx="37">
                  <c:v>6.1</c:v>
                </c:pt>
                <c:pt idx="38">
                  <c:v>5.9</c:v>
                </c:pt>
                <c:pt idx="39">
                  <c:v>6.3</c:v>
                </c:pt>
                <c:pt idx="40">
                  <c:v>6.3</c:v>
                </c:pt>
                <c:pt idx="41">
                  <c:v>6.2</c:v>
                </c:pt>
                <c:pt idx="42">
                  <c:v>6.1</c:v>
                </c:pt>
                <c:pt idx="43">
                  <c:v>5.8</c:v>
                </c:pt>
                <c:pt idx="44">
                  <c:v>6.3</c:v>
                </c:pt>
                <c:pt idx="45">
                  <c:v>6.3</c:v>
                </c:pt>
                <c:pt idx="46">
                  <c:v>6.2</c:v>
                </c:pt>
                <c:pt idx="47">
                  <c:v>5.9</c:v>
                </c:pt>
                <c:pt idx="48">
                  <c:v>5.8</c:v>
                </c:pt>
                <c:pt idx="49">
                  <c:v>6.3</c:v>
                </c:pt>
                <c:pt idx="50">
                  <c:v>6.2</c:v>
                </c:pt>
                <c:pt idx="51">
                  <c:v>6</c:v>
                </c:pt>
                <c:pt idx="52">
                  <c:v>5.8</c:v>
                </c:pt>
                <c:pt idx="53">
                  <c:v>6.3</c:v>
                </c:pt>
                <c:pt idx="54">
                  <c:v>6.2</c:v>
                </c:pt>
                <c:pt idx="55">
                  <c:v>6.2</c:v>
                </c:pt>
                <c:pt idx="56">
                  <c:v>5.9</c:v>
                </c:pt>
                <c:pt idx="57">
                  <c:v>5.7</c:v>
                </c:pt>
                <c:pt idx="58">
                  <c:v>6.3</c:v>
                </c:pt>
                <c:pt idx="59">
                  <c:v>6.2</c:v>
                </c:pt>
                <c:pt idx="60">
                  <c:v>6.2</c:v>
                </c:pt>
                <c:pt idx="61">
                  <c:v>6</c:v>
                </c:pt>
                <c:pt idx="62">
                  <c:v>5.7</c:v>
                </c:pt>
                <c:pt idx="63">
                  <c:v>6.2</c:v>
                </c:pt>
                <c:pt idx="64">
                  <c:v>6.2</c:v>
                </c:pt>
                <c:pt idx="65">
                  <c:v>6.1</c:v>
                </c:pt>
                <c:pt idx="66">
                  <c:v>5.9</c:v>
                </c:pt>
                <c:pt idx="67">
                  <c:v>5.7</c:v>
                </c:pt>
                <c:pt idx="68">
                  <c:v>6.3</c:v>
                </c:pt>
                <c:pt idx="69">
                  <c:v>6.2</c:v>
                </c:pt>
                <c:pt idx="70">
                  <c:v>6.1</c:v>
                </c:pt>
                <c:pt idx="71">
                  <c:v>5.9</c:v>
                </c:pt>
                <c:pt idx="72">
                  <c:v>6</c:v>
                </c:pt>
                <c:pt idx="73">
                  <c:v>6.3</c:v>
                </c:pt>
                <c:pt idx="74">
                  <c:v>6.2</c:v>
                </c:pt>
                <c:pt idx="75">
                  <c:v>6.1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6.1</c:v>
                </c:pt>
                <c:pt idx="80">
                  <c:v>5.9</c:v>
                </c:pt>
                <c:pt idx="81">
                  <c:v>6.1</c:v>
                </c:pt>
                <c:pt idx="82">
                  <c:v>6.3</c:v>
                </c:pt>
                <c:pt idx="83">
                  <c:v>6.2</c:v>
                </c:pt>
                <c:pt idx="84">
                  <c:v>6.1</c:v>
                </c:pt>
                <c:pt idx="85">
                  <c:v>5.9</c:v>
                </c:pt>
                <c:pt idx="86">
                  <c:v>6</c:v>
                </c:pt>
                <c:pt idx="87">
                  <c:v>6.3</c:v>
                </c:pt>
                <c:pt idx="88">
                  <c:v>6.2</c:v>
                </c:pt>
                <c:pt idx="89">
                  <c:v>6.1</c:v>
                </c:pt>
                <c:pt idx="90">
                  <c:v>5.9</c:v>
                </c:pt>
                <c:pt idx="91">
                  <c:v>6.3</c:v>
                </c:pt>
                <c:pt idx="92">
                  <c:v>6.3</c:v>
                </c:pt>
                <c:pt idx="93">
                  <c:v>6.2</c:v>
                </c:pt>
                <c:pt idx="94">
                  <c:v>6.1</c:v>
                </c:pt>
                <c:pt idx="95">
                  <c:v>5.9</c:v>
                </c:pt>
                <c:pt idx="96">
                  <c:v>6.3</c:v>
                </c:pt>
                <c:pt idx="97">
                  <c:v>6.1</c:v>
                </c:pt>
                <c:pt idx="98">
                  <c:v>6.2</c:v>
                </c:pt>
                <c:pt idx="99">
                  <c:v>6.1</c:v>
                </c:pt>
                <c:pt idx="100">
                  <c:v>5.9</c:v>
                </c:pt>
                <c:pt idx="101">
                  <c:v>5</c:v>
                </c:pt>
                <c:pt idx="102">
                  <c:v>6.1</c:v>
                </c:pt>
                <c:pt idx="103">
                  <c:v>6.2</c:v>
                </c:pt>
                <c:pt idx="104">
                  <c:v>6.1</c:v>
                </c:pt>
                <c:pt idx="105">
                  <c:v>5.9</c:v>
                </c:pt>
                <c:pt idx="106">
                  <c:v>6.1</c:v>
                </c:pt>
                <c:pt idx="107">
                  <c:v>6.3</c:v>
                </c:pt>
                <c:pt idx="108">
                  <c:v>6.2</c:v>
                </c:pt>
                <c:pt idx="109">
                  <c:v>6.1</c:v>
                </c:pt>
                <c:pt idx="110">
                  <c:v>5.9</c:v>
                </c:pt>
                <c:pt idx="111">
                  <c:v>6.3</c:v>
                </c:pt>
                <c:pt idx="112">
                  <c:v>6.2</c:v>
                </c:pt>
                <c:pt idx="113">
                  <c:v>6</c:v>
                </c:pt>
                <c:pt idx="114">
                  <c:v>5.8</c:v>
                </c:pt>
                <c:pt idx="115">
                  <c:v>6.3</c:v>
                </c:pt>
                <c:pt idx="116">
                  <c:v>6.2</c:v>
                </c:pt>
                <c:pt idx="117">
                  <c:v>6.2</c:v>
                </c:pt>
                <c:pt idx="118">
                  <c:v>6</c:v>
                </c:pt>
                <c:pt idx="119">
                  <c:v>5.8</c:v>
                </c:pt>
                <c:pt idx="120">
                  <c:v>6.3</c:v>
                </c:pt>
                <c:pt idx="121">
                  <c:v>6.3</c:v>
                </c:pt>
                <c:pt idx="122">
                  <c:v>6.2</c:v>
                </c:pt>
                <c:pt idx="123">
                  <c:v>6</c:v>
                </c:pt>
                <c:pt idx="124">
                  <c:v>5.8</c:v>
                </c:pt>
                <c:pt idx="125">
                  <c:v>6.3</c:v>
                </c:pt>
                <c:pt idx="126">
                  <c:v>6.2</c:v>
                </c:pt>
                <c:pt idx="127">
                  <c:v>6.2</c:v>
                </c:pt>
                <c:pt idx="128">
                  <c:v>6.1</c:v>
                </c:pt>
                <c:pt idx="129">
                  <c:v>5.9</c:v>
                </c:pt>
                <c:pt idx="130">
                  <c:v>6.3</c:v>
                </c:pt>
                <c:pt idx="131">
                  <c:v>6.3</c:v>
                </c:pt>
                <c:pt idx="132">
                  <c:v>6.2</c:v>
                </c:pt>
                <c:pt idx="133">
                  <c:v>6.1</c:v>
                </c:pt>
                <c:pt idx="134">
                  <c:v>5.9</c:v>
                </c:pt>
                <c:pt idx="135">
                  <c:v>6.2</c:v>
                </c:pt>
                <c:pt idx="136">
                  <c:v>6.3</c:v>
                </c:pt>
                <c:pt idx="137">
                  <c:v>4.8</c:v>
                </c:pt>
                <c:pt idx="138">
                  <c:v>6</c:v>
                </c:pt>
                <c:pt idx="139">
                  <c:v>6.1</c:v>
                </c:pt>
                <c:pt idx="140">
                  <c:v>6.3</c:v>
                </c:pt>
                <c:pt idx="141">
                  <c:v>6.2</c:v>
                </c:pt>
                <c:pt idx="142">
                  <c:v>6.2</c:v>
                </c:pt>
                <c:pt idx="143">
                  <c:v>6</c:v>
                </c:pt>
                <c:pt idx="144">
                  <c:v>5.8</c:v>
                </c:pt>
                <c:pt idx="145">
                  <c:v>6.3</c:v>
                </c:pt>
                <c:pt idx="146">
                  <c:v>6.2</c:v>
                </c:pt>
                <c:pt idx="147">
                  <c:v>6.2</c:v>
                </c:pt>
                <c:pt idx="148">
                  <c:v>6</c:v>
                </c:pt>
                <c:pt idx="149">
                  <c:v>5.8</c:v>
                </c:pt>
                <c:pt idx="150">
                  <c:v>6.3</c:v>
                </c:pt>
                <c:pt idx="151">
                  <c:v>6.3</c:v>
                </c:pt>
                <c:pt idx="152">
                  <c:v>6.2</c:v>
                </c:pt>
                <c:pt idx="153">
                  <c:v>6.1</c:v>
                </c:pt>
                <c:pt idx="154">
                  <c:v>5.9</c:v>
                </c:pt>
                <c:pt idx="155">
                  <c:v>6.3</c:v>
                </c:pt>
                <c:pt idx="156">
                  <c:v>6.3</c:v>
                </c:pt>
                <c:pt idx="157">
                  <c:v>6.2</c:v>
                </c:pt>
                <c:pt idx="158">
                  <c:v>6.1</c:v>
                </c:pt>
                <c:pt idx="159">
                  <c:v>5.9</c:v>
                </c:pt>
                <c:pt idx="160">
                  <c:v>6.1</c:v>
                </c:pt>
                <c:pt idx="161">
                  <c:v>6.3</c:v>
                </c:pt>
                <c:pt idx="162">
                  <c:v>6.2</c:v>
                </c:pt>
                <c:pt idx="163">
                  <c:v>6</c:v>
                </c:pt>
                <c:pt idx="164">
                  <c:v>5.9</c:v>
                </c:pt>
                <c:pt idx="165">
                  <c:v>6.3</c:v>
                </c:pt>
                <c:pt idx="166">
                  <c:v>6.2</c:v>
                </c:pt>
                <c:pt idx="167">
                  <c:v>6.2</c:v>
                </c:pt>
                <c:pt idx="168">
                  <c:v>6</c:v>
                </c:pt>
                <c:pt idx="169">
                  <c:v>5.8</c:v>
                </c:pt>
                <c:pt idx="170">
                  <c:v>6.3</c:v>
                </c:pt>
                <c:pt idx="171">
                  <c:v>6.2</c:v>
                </c:pt>
                <c:pt idx="172">
                  <c:v>6.2</c:v>
                </c:pt>
                <c:pt idx="173">
                  <c:v>6.1</c:v>
                </c:pt>
                <c:pt idx="174">
                  <c:v>5.9</c:v>
                </c:pt>
                <c:pt idx="175">
                  <c:v>6.3</c:v>
                </c:pt>
                <c:pt idx="176">
                  <c:v>6.3</c:v>
                </c:pt>
                <c:pt idx="177">
                  <c:v>6.2</c:v>
                </c:pt>
                <c:pt idx="178">
                  <c:v>6.1</c:v>
                </c:pt>
                <c:pt idx="179">
                  <c:v>5.9</c:v>
                </c:pt>
                <c:pt idx="180">
                  <c:v>6.2</c:v>
                </c:pt>
                <c:pt idx="181">
                  <c:v>6.3</c:v>
                </c:pt>
                <c:pt idx="182">
                  <c:v>6.2</c:v>
                </c:pt>
                <c:pt idx="183">
                  <c:v>6.1</c:v>
                </c:pt>
                <c:pt idx="184">
                  <c:v>6</c:v>
                </c:pt>
                <c:pt idx="185">
                  <c:v>5.8</c:v>
                </c:pt>
                <c:pt idx="186">
                  <c:v>6.3</c:v>
                </c:pt>
                <c:pt idx="187">
                  <c:v>6.2</c:v>
                </c:pt>
                <c:pt idx="188">
                  <c:v>6</c:v>
                </c:pt>
                <c:pt idx="189">
                  <c:v>5.8</c:v>
                </c:pt>
                <c:pt idx="190">
                  <c:v>6.3</c:v>
                </c:pt>
                <c:pt idx="191">
                  <c:v>6.2</c:v>
                </c:pt>
                <c:pt idx="192">
                  <c:v>6.2</c:v>
                </c:pt>
                <c:pt idx="193">
                  <c:v>6</c:v>
                </c:pt>
                <c:pt idx="194">
                  <c:v>5.8</c:v>
                </c:pt>
                <c:pt idx="195">
                  <c:v>6.3</c:v>
                </c:pt>
                <c:pt idx="196">
                  <c:v>6.2</c:v>
                </c:pt>
                <c:pt idx="197">
                  <c:v>6.2</c:v>
                </c:pt>
                <c:pt idx="198">
                  <c:v>6.1</c:v>
                </c:pt>
                <c:pt idx="199">
                  <c:v>5.9</c:v>
                </c:pt>
                <c:pt idx="200">
                  <c:v>6.3</c:v>
                </c:pt>
                <c:pt idx="201">
                  <c:v>6.3</c:v>
                </c:pt>
                <c:pt idx="202">
                  <c:v>6.2</c:v>
                </c:pt>
                <c:pt idx="203">
                  <c:v>6.1</c:v>
                </c:pt>
                <c:pt idx="204">
                  <c:v>5.9</c:v>
                </c:pt>
                <c:pt idx="205">
                  <c:v>6.2</c:v>
                </c:pt>
                <c:pt idx="206">
                  <c:v>6.3</c:v>
                </c:pt>
                <c:pt idx="207">
                  <c:v>6.2</c:v>
                </c:pt>
                <c:pt idx="208">
                  <c:v>6</c:v>
                </c:pt>
                <c:pt idx="209">
                  <c:v>6</c:v>
                </c:pt>
                <c:pt idx="210">
                  <c:v>6.1</c:v>
                </c:pt>
                <c:pt idx="211">
                  <c:v>6.3</c:v>
                </c:pt>
                <c:pt idx="212">
                  <c:v>6.2</c:v>
                </c:pt>
                <c:pt idx="213">
                  <c:v>4.5999999999999996</c:v>
                </c:pt>
                <c:pt idx="214">
                  <c:v>6</c:v>
                </c:pt>
                <c:pt idx="215">
                  <c:v>6.3</c:v>
                </c:pt>
                <c:pt idx="216">
                  <c:v>6.2</c:v>
                </c:pt>
                <c:pt idx="217">
                  <c:v>6.2</c:v>
                </c:pt>
                <c:pt idx="218">
                  <c:v>6</c:v>
                </c:pt>
                <c:pt idx="219">
                  <c:v>5.8</c:v>
                </c:pt>
                <c:pt idx="220">
                  <c:v>6.3</c:v>
                </c:pt>
                <c:pt idx="221">
                  <c:v>6.2</c:v>
                </c:pt>
                <c:pt idx="222">
                  <c:v>6.2</c:v>
                </c:pt>
                <c:pt idx="223">
                  <c:v>6.1</c:v>
                </c:pt>
                <c:pt idx="224">
                  <c:v>5.9</c:v>
                </c:pt>
                <c:pt idx="225">
                  <c:v>6.3</c:v>
                </c:pt>
                <c:pt idx="226">
                  <c:v>6.3</c:v>
                </c:pt>
                <c:pt idx="227">
                  <c:v>6.2</c:v>
                </c:pt>
                <c:pt idx="228">
                  <c:v>6.1</c:v>
                </c:pt>
                <c:pt idx="229">
                  <c:v>5.8</c:v>
                </c:pt>
                <c:pt idx="230">
                  <c:v>6.3</c:v>
                </c:pt>
                <c:pt idx="231">
                  <c:v>6.2</c:v>
                </c:pt>
                <c:pt idx="232">
                  <c:v>6.2</c:v>
                </c:pt>
                <c:pt idx="233">
                  <c:v>6</c:v>
                </c:pt>
                <c:pt idx="234">
                  <c:v>6.2</c:v>
                </c:pt>
                <c:pt idx="235">
                  <c:v>6.3</c:v>
                </c:pt>
                <c:pt idx="236">
                  <c:v>6.2</c:v>
                </c:pt>
                <c:pt idx="237">
                  <c:v>6.1</c:v>
                </c:pt>
                <c:pt idx="238">
                  <c:v>4.0999999999999996</c:v>
                </c:pt>
                <c:pt idx="239">
                  <c:v>6.3</c:v>
                </c:pt>
                <c:pt idx="240">
                  <c:v>6.2</c:v>
                </c:pt>
                <c:pt idx="241">
                  <c:v>6.1</c:v>
                </c:pt>
                <c:pt idx="242">
                  <c:v>5.9</c:v>
                </c:pt>
                <c:pt idx="243">
                  <c:v>6.3</c:v>
                </c:pt>
                <c:pt idx="244">
                  <c:v>6.3</c:v>
                </c:pt>
                <c:pt idx="245">
                  <c:v>6.2</c:v>
                </c:pt>
                <c:pt idx="246">
                  <c:v>6</c:v>
                </c:pt>
                <c:pt idx="247">
                  <c:v>5.8</c:v>
                </c:pt>
                <c:pt idx="248">
                  <c:v>6.3</c:v>
                </c:pt>
                <c:pt idx="249">
                  <c:v>6.2</c:v>
                </c:pt>
                <c:pt idx="250">
                  <c:v>6.2</c:v>
                </c:pt>
                <c:pt idx="251">
                  <c:v>6</c:v>
                </c:pt>
                <c:pt idx="252">
                  <c:v>5.8</c:v>
                </c:pt>
                <c:pt idx="253">
                  <c:v>6.3</c:v>
                </c:pt>
                <c:pt idx="254">
                  <c:v>6.3</c:v>
                </c:pt>
                <c:pt idx="255">
                  <c:v>6.2</c:v>
                </c:pt>
                <c:pt idx="256">
                  <c:v>6.1</c:v>
                </c:pt>
                <c:pt idx="257">
                  <c:v>5.9</c:v>
                </c:pt>
                <c:pt idx="258">
                  <c:v>6.3</c:v>
                </c:pt>
                <c:pt idx="259">
                  <c:v>6.3</c:v>
                </c:pt>
                <c:pt idx="260">
                  <c:v>6.2</c:v>
                </c:pt>
                <c:pt idx="261">
                  <c:v>6.1</c:v>
                </c:pt>
                <c:pt idx="262">
                  <c:v>6</c:v>
                </c:pt>
                <c:pt idx="263">
                  <c:v>5.8</c:v>
                </c:pt>
                <c:pt idx="264">
                  <c:v>6.3</c:v>
                </c:pt>
                <c:pt idx="265">
                  <c:v>6.2</c:v>
                </c:pt>
                <c:pt idx="266">
                  <c:v>6.1</c:v>
                </c:pt>
                <c:pt idx="267">
                  <c:v>5.9</c:v>
                </c:pt>
                <c:pt idx="268">
                  <c:v>6</c:v>
                </c:pt>
                <c:pt idx="269">
                  <c:v>6.3</c:v>
                </c:pt>
                <c:pt idx="270">
                  <c:v>6.2</c:v>
                </c:pt>
                <c:pt idx="271">
                  <c:v>6.2</c:v>
                </c:pt>
                <c:pt idx="272">
                  <c:v>6</c:v>
                </c:pt>
                <c:pt idx="273">
                  <c:v>5.8</c:v>
                </c:pt>
                <c:pt idx="274">
                  <c:v>6.3</c:v>
                </c:pt>
                <c:pt idx="275">
                  <c:v>6.2</c:v>
                </c:pt>
                <c:pt idx="276">
                  <c:v>6.2</c:v>
                </c:pt>
                <c:pt idx="277">
                  <c:v>6.1</c:v>
                </c:pt>
                <c:pt idx="278">
                  <c:v>5.9</c:v>
                </c:pt>
                <c:pt idx="279">
                  <c:v>6.3</c:v>
                </c:pt>
                <c:pt idx="280">
                  <c:v>6.2</c:v>
                </c:pt>
                <c:pt idx="281">
                  <c:v>6.2</c:v>
                </c:pt>
                <c:pt idx="282">
                  <c:v>6.1</c:v>
                </c:pt>
                <c:pt idx="283">
                  <c:v>5.9</c:v>
                </c:pt>
                <c:pt idx="284">
                  <c:v>6.2</c:v>
                </c:pt>
                <c:pt idx="285">
                  <c:v>6.3</c:v>
                </c:pt>
                <c:pt idx="286">
                  <c:v>6.2</c:v>
                </c:pt>
                <c:pt idx="287">
                  <c:v>6.2</c:v>
                </c:pt>
                <c:pt idx="288">
                  <c:v>6</c:v>
                </c:pt>
                <c:pt idx="289">
                  <c:v>5.5</c:v>
                </c:pt>
                <c:pt idx="290">
                  <c:v>6.3</c:v>
                </c:pt>
                <c:pt idx="291">
                  <c:v>6.2</c:v>
                </c:pt>
                <c:pt idx="292">
                  <c:v>6.2</c:v>
                </c:pt>
                <c:pt idx="293">
                  <c:v>6</c:v>
                </c:pt>
                <c:pt idx="294">
                  <c:v>5.8</c:v>
                </c:pt>
                <c:pt idx="295">
                  <c:v>6.3</c:v>
                </c:pt>
                <c:pt idx="296">
                  <c:v>6.2</c:v>
                </c:pt>
                <c:pt idx="297">
                  <c:v>6.2</c:v>
                </c:pt>
                <c:pt idx="298">
                  <c:v>6</c:v>
                </c:pt>
                <c:pt idx="299">
                  <c:v>5.8</c:v>
                </c:pt>
                <c:pt idx="300">
                  <c:v>6.3</c:v>
                </c:pt>
                <c:pt idx="30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66-43AF-88EF-90F1A24F7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89736"/>
        <c:axId val="854430156"/>
      </c:scatterChart>
      <c:valAx>
        <c:axId val="18875897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54430156"/>
        <c:crosses val="autoZero"/>
        <c:crossBetween val="midCat"/>
        <c:majorUnit val="20"/>
        <c:minorUnit val="1"/>
      </c:valAx>
      <c:valAx>
        <c:axId val="854430156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Presión aire  [bar]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887589736"/>
        <c:crosses val="autoZero"/>
        <c:crossBetween val="midCat"/>
        <c:majorUnit val="0.5"/>
      </c:valAx>
    </c:plotArea>
    <c:legend>
      <c:legendPos val="r"/>
      <c:layout>
        <c:manualLayout>
          <c:xMode val="edge"/>
          <c:yMode val="edge"/>
          <c:x val="0.1335135608048994"/>
          <c:y val="0.699652230971128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27080927384077"/>
          <c:y val="5.0925925925925923E-2"/>
          <c:w val="0.83725240594925632"/>
          <c:h val="0.74102653834937304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'Parámetros proc.'!$A$3:$A$304</c:f>
              <c:numCache>
                <c:formatCode>General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</c:numCache>
            </c:numRef>
          </c:xVal>
          <c:yVal>
            <c:numRef>
              <c:f>'Parámetros proc.'!$D$3:$D$304</c:f>
              <c:numCache>
                <c:formatCode>General</c:formatCode>
                <c:ptCount val="302"/>
                <c:pt idx="0">
                  <c:v>27.9</c:v>
                </c:pt>
                <c:pt idx="1">
                  <c:v>44.5</c:v>
                </c:pt>
                <c:pt idx="2">
                  <c:v>47.9</c:v>
                </c:pt>
                <c:pt idx="3">
                  <c:v>47.3</c:v>
                </c:pt>
                <c:pt idx="4">
                  <c:v>48.2</c:v>
                </c:pt>
                <c:pt idx="5">
                  <c:v>49.7</c:v>
                </c:pt>
                <c:pt idx="6">
                  <c:v>50.5</c:v>
                </c:pt>
                <c:pt idx="7">
                  <c:v>50.6</c:v>
                </c:pt>
                <c:pt idx="8">
                  <c:v>50.9</c:v>
                </c:pt>
                <c:pt idx="9">
                  <c:v>51.1</c:v>
                </c:pt>
                <c:pt idx="10">
                  <c:v>51.3</c:v>
                </c:pt>
                <c:pt idx="11">
                  <c:v>49.6</c:v>
                </c:pt>
                <c:pt idx="12">
                  <c:v>48.8</c:v>
                </c:pt>
                <c:pt idx="13">
                  <c:v>48.3</c:v>
                </c:pt>
                <c:pt idx="14">
                  <c:v>48</c:v>
                </c:pt>
                <c:pt idx="15">
                  <c:v>47.9</c:v>
                </c:pt>
                <c:pt idx="16">
                  <c:v>48.1</c:v>
                </c:pt>
                <c:pt idx="17">
                  <c:v>48.6</c:v>
                </c:pt>
                <c:pt idx="18">
                  <c:v>48.8</c:v>
                </c:pt>
                <c:pt idx="19">
                  <c:v>48.8</c:v>
                </c:pt>
                <c:pt idx="20">
                  <c:v>48.3</c:v>
                </c:pt>
                <c:pt idx="21">
                  <c:v>47.9</c:v>
                </c:pt>
                <c:pt idx="22">
                  <c:v>48</c:v>
                </c:pt>
                <c:pt idx="23">
                  <c:v>48.4</c:v>
                </c:pt>
                <c:pt idx="24">
                  <c:v>48.9</c:v>
                </c:pt>
                <c:pt idx="25">
                  <c:v>49</c:v>
                </c:pt>
                <c:pt idx="26">
                  <c:v>48.4</c:v>
                </c:pt>
                <c:pt idx="27">
                  <c:v>48</c:v>
                </c:pt>
                <c:pt idx="28">
                  <c:v>48</c:v>
                </c:pt>
                <c:pt idx="29">
                  <c:v>48.3</c:v>
                </c:pt>
                <c:pt idx="30">
                  <c:v>48.6</c:v>
                </c:pt>
                <c:pt idx="31">
                  <c:v>49</c:v>
                </c:pt>
                <c:pt idx="32">
                  <c:v>48.7</c:v>
                </c:pt>
                <c:pt idx="33">
                  <c:v>48.5</c:v>
                </c:pt>
                <c:pt idx="34">
                  <c:v>50.4</c:v>
                </c:pt>
                <c:pt idx="35">
                  <c:v>50.3</c:v>
                </c:pt>
                <c:pt idx="36">
                  <c:v>50.1</c:v>
                </c:pt>
                <c:pt idx="37">
                  <c:v>49.7</c:v>
                </c:pt>
                <c:pt idx="38">
                  <c:v>49.6</c:v>
                </c:pt>
                <c:pt idx="39">
                  <c:v>49.5</c:v>
                </c:pt>
                <c:pt idx="40">
                  <c:v>49.5</c:v>
                </c:pt>
                <c:pt idx="41">
                  <c:v>49.6</c:v>
                </c:pt>
                <c:pt idx="42">
                  <c:v>49.8</c:v>
                </c:pt>
                <c:pt idx="43">
                  <c:v>50</c:v>
                </c:pt>
                <c:pt idx="44">
                  <c:v>50.3</c:v>
                </c:pt>
                <c:pt idx="45">
                  <c:v>50.5</c:v>
                </c:pt>
                <c:pt idx="46">
                  <c:v>50.6</c:v>
                </c:pt>
                <c:pt idx="47">
                  <c:v>50.5</c:v>
                </c:pt>
                <c:pt idx="48">
                  <c:v>50.4</c:v>
                </c:pt>
                <c:pt idx="49">
                  <c:v>50</c:v>
                </c:pt>
                <c:pt idx="50">
                  <c:v>49.8</c:v>
                </c:pt>
                <c:pt idx="51">
                  <c:v>49.8</c:v>
                </c:pt>
                <c:pt idx="52">
                  <c:v>50.2</c:v>
                </c:pt>
                <c:pt idx="53">
                  <c:v>50.8</c:v>
                </c:pt>
                <c:pt idx="54">
                  <c:v>51.1</c:v>
                </c:pt>
                <c:pt idx="55">
                  <c:v>51</c:v>
                </c:pt>
                <c:pt idx="56">
                  <c:v>51</c:v>
                </c:pt>
                <c:pt idx="57">
                  <c:v>50.8</c:v>
                </c:pt>
                <c:pt idx="58">
                  <c:v>50.5</c:v>
                </c:pt>
                <c:pt idx="59">
                  <c:v>50.2</c:v>
                </c:pt>
                <c:pt idx="60">
                  <c:v>50.1</c:v>
                </c:pt>
                <c:pt idx="61">
                  <c:v>50.2</c:v>
                </c:pt>
                <c:pt idx="62">
                  <c:v>50.1</c:v>
                </c:pt>
                <c:pt idx="63">
                  <c:v>50.5</c:v>
                </c:pt>
                <c:pt idx="64">
                  <c:v>50.9</c:v>
                </c:pt>
                <c:pt idx="65">
                  <c:v>51</c:v>
                </c:pt>
                <c:pt idx="66">
                  <c:v>51</c:v>
                </c:pt>
                <c:pt idx="67">
                  <c:v>50.6</c:v>
                </c:pt>
                <c:pt idx="68">
                  <c:v>50.4</c:v>
                </c:pt>
                <c:pt idx="69">
                  <c:v>50.2</c:v>
                </c:pt>
                <c:pt idx="70">
                  <c:v>50.2</c:v>
                </c:pt>
                <c:pt idx="71">
                  <c:v>50.1</c:v>
                </c:pt>
                <c:pt idx="72">
                  <c:v>50.1</c:v>
                </c:pt>
                <c:pt idx="73">
                  <c:v>50.1</c:v>
                </c:pt>
                <c:pt idx="74">
                  <c:v>50.2</c:v>
                </c:pt>
                <c:pt idx="75">
                  <c:v>50.3</c:v>
                </c:pt>
                <c:pt idx="76">
                  <c:v>50.3</c:v>
                </c:pt>
                <c:pt idx="77">
                  <c:v>50.6</c:v>
                </c:pt>
                <c:pt idx="78">
                  <c:v>50.7</c:v>
                </c:pt>
                <c:pt idx="79">
                  <c:v>51.1</c:v>
                </c:pt>
                <c:pt idx="80">
                  <c:v>51.1</c:v>
                </c:pt>
                <c:pt idx="81">
                  <c:v>50.9</c:v>
                </c:pt>
                <c:pt idx="82">
                  <c:v>50.7</c:v>
                </c:pt>
                <c:pt idx="83">
                  <c:v>50.3</c:v>
                </c:pt>
                <c:pt idx="84">
                  <c:v>50.1</c:v>
                </c:pt>
                <c:pt idx="85">
                  <c:v>50.2</c:v>
                </c:pt>
                <c:pt idx="86">
                  <c:v>50.6</c:v>
                </c:pt>
                <c:pt idx="87">
                  <c:v>51</c:v>
                </c:pt>
                <c:pt idx="88">
                  <c:v>51.2</c:v>
                </c:pt>
                <c:pt idx="89">
                  <c:v>51</c:v>
                </c:pt>
                <c:pt idx="90">
                  <c:v>50.5</c:v>
                </c:pt>
                <c:pt idx="91">
                  <c:v>50.3</c:v>
                </c:pt>
                <c:pt idx="92">
                  <c:v>50.3</c:v>
                </c:pt>
                <c:pt idx="93">
                  <c:v>50.5</c:v>
                </c:pt>
                <c:pt idx="94">
                  <c:v>51</c:v>
                </c:pt>
                <c:pt idx="95">
                  <c:v>51.2</c:v>
                </c:pt>
                <c:pt idx="96">
                  <c:v>51.4</c:v>
                </c:pt>
                <c:pt idx="97">
                  <c:v>51.2</c:v>
                </c:pt>
                <c:pt idx="98">
                  <c:v>50.9</c:v>
                </c:pt>
                <c:pt idx="99">
                  <c:v>50.5</c:v>
                </c:pt>
                <c:pt idx="100">
                  <c:v>50.6</c:v>
                </c:pt>
                <c:pt idx="101">
                  <c:v>50.7</c:v>
                </c:pt>
                <c:pt idx="102">
                  <c:v>50.9</c:v>
                </c:pt>
                <c:pt idx="103">
                  <c:v>51</c:v>
                </c:pt>
                <c:pt idx="104">
                  <c:v>51.2</c:v>
                </c:pt>
                <c:pt idx="105">
                  <c:v>51.4</c:v>
                </c:pt>
                <c:pt idx="106">
                  <c:v>51.3</c:v>
                </c:pt>
                <c:pt idx="107">
                  <c:v>51.3</c:v>
                </c:pt>
                <c:pt idx="108">
                  <c:v>51.2</c:v>
                </c:pt>
                <c:pt idx="109">
                  <c:v>51.2</c:v>
                </c:pt>
                <c:pt idx="110">
                  <c:v>51.1</c:v>
                </c:pt>
                <c:pt idx="111">
                  <c:v>50.9</c:v>
                </c:pt>
                <c:pt idx="112">
                  <c:v>48.5</c:v>
                </c:pt>
                <c:pt idx="113">
                  <c:v>48.6</c:v>
                </c:pt>
                <c:pt idx="114">
                  <c:v>52</c:v>
                </c:pt>
                <c:pt idx="115">
                  <c:v>54.3</c:v>
                </c:pt>
                <c:pt idx="116">
                  <c:v>54.3</c:v>
                </c:pt>
                <c:pt idx="117">
                  <c:v>54</c:v>
                </c:pt>
                <c:pt idx="118">
                  <c:v>53.2</c:v>
                </c:pt>
                <c:pt idx="119">
                  <c:v>54.1</c:v>
                </c:pt>
                <c:pt idx="120">
                  <c:v>53.6</c:v>
                </c:pt>
                <c:pt idx="121">
                  <c:v>53.8</c:v>
                </c:pt>
                <c:pt idx="122">
                  <c:v>53.6</c:v>
                </c:pt>
                <c:pt idx="123">
                  <c:v>53.9</c:v>
                </c:pt>
                <c:pt idx="124">
                  <c:v>53.5</c:v>
                </c:pt>
                <c:pt idx="125">
                  <c:v>54.1</c:v>
                </c:pt>
                <c:pt idx="126">
                  <c:v>54.1</c:v>
                </c:pt>
                <c:pt idx="127">
                  <c:v>54.1</c:v>
                </c:pt>
                <c:pt idx="128">
                  <c:v>53.9</c:v>
                </c:pt>
                <c:pt idx="129">
                  <c:v>53.6</c:v>
                </c:pt>
                <c:pt idx="130">
                  <c:v>53.2</c:v>
                </c:pt>
                <c:pt idx="131">
                  <c:v>52.5</c:v>
                </c:pt>
                <c:pt idx="132">
                  <c:v>51.8</c:v>
                </c:pt>
                <c:pt idx="133">
                  <c:v>51.3</c:v>
                </c:pt>
                <c:pt idx="134">
                  <c:v>50.9</c:v>
                </c:pt>
                <c:pt idx="135">
                  <c:v>50.6</c:v>
                </c:pt>
                <c:pt idx="136">
                  <c:v>50.3</c:v>
                </c:pt>
                <c:pt idx="137">
                  <c:v>50</c:v>
                </c:pt>
                <c:pt idx="138">
                  <c:v>49.7</c:v>
                </c:pt>
                <c:pt idx="139">
                  <c:v>49.5</c:v>
                </c:pt>
                <c:pt idx="140">
                  <c:v>49</c:v>
                </c:pt>
                <c:pt idx="141">
                  <c:v>48.9</c:v>
                </c:pt>
                <c:pt idx="142">
                  <c:v>48.6</c:v>
                </c:pt>
                <c:pt idx="143">
                  <c:v>48</c:v>
                </c:pt>
                <c:pt idx="144">
                  <c:v>47.4</c:v>
                </c:pt>
                <c:pt idx="145">
                  <c:v>46.9</c:v>
                </c:pt>
                <c:pt idx="146">
                  <c:v>46.5</c:v>
                </c:pt>
                <c:pt idx="147">
                  <c:v>46.3</c:v>
                </c:pt>
                <c:pt idx="148">
                  <c:v>46.1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46.1</c:v>
                </c:pt>
                <c:pt idx="153">
                  <c:v>46.2</c:v>
                </c:pt>
                <c:pt idx="154">
                  <c:v>46.4</c:v>
                </c:pt>
                <c:pt idx="155">
                  <c:v>46.5</c:v>
                </c:pt>
                <c:pt idx="156">
                  <c:v>46.7</c:v>
                </c:pt>
                <c:pt idx="157">
                  <c:v>46.9</c:v>
                </c:pt>
                <c:pt idx="158">
                  <c:v>47.1</c:v>
                </c:pt>
                <c:pt idx="159">
                  <c:v>47.4</c:v>
                </c:pt>
                <c:pt idx="160">
                  <c:v>47.7</c:v>
                </c:pt>
                <c:pt idx="161">
                  <c:v>48</c:v>
                </c:pt>
                <c:pt idx="162">
                  <c:v>48.4</c:v>
                </c:pt>
                <c:pt idx="163">
                  <c:v>48.8</c:v>
                </c:pt>
                <c:pt idx="164">
                  <c:v>49</c:v>
                </c:pt>
                <c:pt idx="165">
                  <c:v>48.4</c:v>
                </c:pt>
                <c:pt idx="166">
                  <c:v>48.6</c:v>
                </c:pt>
                <c:pt idx="167">
                  <c:v>48.7</c:v>
                </c:pt>
                <c:pt idx="168">
                  <c:v>48.9</c:v>
                </c:pt>
                <c:pt idx="169">
                  <c:v>49.3</c:v>
                </c:pt>
                <c:pt idx="170">
                  <c:v>49.7</c:v>
                </c:pt>
                <c:pt idx="171">
                  <c:v>49.9</c:v>
                </c:pt>
                <c:pt idx="172">
                  <c:v>50.1</c:v>
                </c:pt>
                <c:pt idx="173">
                  <c:v>50.1</c:v>
                </c:pt>
                <c:pt idx="174">
                  <c:v>50.1</c:v>
                </c:pt>
                <c:pt idx="175">
                  <c:v>50</c:v>
                </c:pt>
                <c:pt idx="176">
                  <c:v>50.2</c:v>
                </c:pt>
                <c:pt idx="177">
                  <c:v>50.6</c:v>
                </c:pt>
                <c:pt idx="178">
                  <c:v>51</c:v>
                </c:pt>
                <c:pt idx="179">
                  <c:v>51.1</c:v>
                </c:pt>
                <c:pt idx="180">
                  <c:v>51.2</c:v>
                </c:pt>
                <c:pt idx="181">
                  <c:v>51.6</c:v>
                </c:pt>
                <c:pt idx="182">
                  <c:v>52</c:v>
                </c:pt>
                <c:pt idx="183">
                  <c:v>52.3</c:v>
                </c:pt>
                <c:pt idx="184">
                  <c:v>52.6</c:v>
                </c:pt>
                <c:pt idx="185">
                  <c:v>52.9</c:v>
                </c:pt>
                <c:pt idx="186">
                  <c:v>53.1</c:v>
                </c:pt>
                <c:pt idx="187">
                  <c:v>53.3</c:v>
                </c:pt>
                <c:pt idx="188">
                  <c:v>53.5</c:v>
                </c:pt>
                <c:pt idx="189">
                  <c:v>53.6</c:v>
                </c:pt>
                <c:pt idx="190">
                  <c:v>53.7</c:v>
                </c:pt>
                <c:pt idx="191">
                  <c:v>53.7</c:v>
                </c:pt>
                <c:pt idx="192">
                  <c:v>53.9</c:v>
                </c:pt>
                <c:pt idx="193">
                  <c:v>54</c:v>
                </c:pt>
                <c:pt idx="194">
                  <c:v>54.1</c:v>
                </c:pt>
                <c:pt idx="195">
                  <c:v>54.3</c:v>
                </c:pt>
                <c:pt idx="196">
                  <c:v>54.4</c:v>
                </c:pt>
                <c:pt idx="197">
                  <c:v>54.6</c:v>
                </c:pt>
                <c:pt idx="198">
                  <c:v>54.8</c:v>
                </c:pt>
                <c:pt idx="199">
                  <c:v>54</c:v>
                </c:pt>
                <c:pt idx="200">
                  <c:v>54.7</c:v>
                </c:pt>
                <c:pt idx="201">
                  <c:v>54.3</c:v>
                </c:pt>
                <c:pt idx="202">
                  <c:v>54.4</c:v>
                </c:pt>
                <c:pt idx="203">
                  <c:v>54.9</c:v>
                </c:pt>
                <c:pt idx="204">
                  <c:v>54.4</c:v>
                </c:pt>
                <c:pt idx="205">
                  <c:v>54.5</c:v>
                </c:pt>
                <c:pt idx="206">
                  <c:v>54.9</c:v>
                </c:pt>
                <c:pt idx="207">
                  <c:v>54</c:v>
                </c:pt>
                <c:pt idx="208">
                  <c:v>54.9</c:v>
                </c:pt>
                <c:pt idx="209">
                  <c:v>54.5</c:v>
                </c:pt>
                <c:pt idx="210">
                  <c:v>53.9</c:v>
                </c:pt>
                <c:pt idx="211">
                  <c:v>54.8</c:v>
                </c:pt>
                <c:pt idx="212">
                  <c:v>54.2</c:v>
                </c:pt>
                <c:pt idx="213">
                  <c:v>55</c:v>
                </c:pt>
                <c:pt idx="214">
                  <c:v>54.2</c:v>
                </c:pt>
                <c:pt idx="215">
                  <c:v>55</c:v>
                </c:pt>
                <c:pt idx="216">
                  <c:v>54</c:v>
                </c:pt>
                <c:pt idx="217">
                  <c:v>54.4</c:v>
                </c:pt>
                <c:pt idx="218">
                  <c:v>54.6</c:v>
                </c:pt>
                <c:pt idx="219">
                  <c:v>54.6</c:v>
                </c:pt>
                <c:pt idx="220">
                  <c:v>54.5</c:v>
                </c:pt>
                <c:pt idx="221">
                  <c:v>54.3</c:v>
                </c:pt>
                <c:pt idx="222">
                  <c:v>54.2</c:v>
                </c:pt>
                <c:pt idx="223">
                  <c:v>54.1</c:v>
                </c:pt>
                <c:pt idx="224">
                  <c:v>54</c:v>
                </c:pt>
                <c:pt idx="225">
                  <c:v>53.8</c:v>
                </c:pt>
                <c:pt idx="226">
                  <c:v>53.7</c:v>
                </c:pt>
                <c:pt idx="227">
                  <c:v>53.4</c:v>
                </c:pt>
                <c:pt idx="228">
                  <c:v>53.1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52.8</c:v>
                </c:pt>
                <c:pt idx="233">
                  <c:v>52.8</c:v>
                </c:pt>
                <c:pt idx="234">
                  <c:v>53.1</c:v>
                </c:pt>
                <c:pt idx="235">
                  <c:v>53.2</c:v>
                </c:pt>
                <c:pt idx="236">
                  <c:v>53.2</c:v>
                </c:pt>
                <c:pt idx="237">
                  <c:v>53.5</c:v>
                </c:pt>
                <c:pt idx="238">
                  <c:v>53.6</c:v>
                </c:pt>
                <c:pt idx="239">
                  <c:v>53.5</c:v>
                </c:pt>
                <c:pt idx="240">
                  <c:v>53.6</c:v>
                </c:pt>
                <c:pt idx="241">
                  <c:v>54.2</c:v>
                </c:pt>
                <c:pt idx="242">
                  <c:v>54.6</c:v>
                </c:pt>
                <c:pt idx="243">
                  <c:v>54.7</c:v>
                </c:pt>
                <c:pt idx="244">
                  <c:v>54.4</c:v>
                </c:pt>
                <c:pt idx="245">
                  <c:v>53.9</c:v>
                </c:pt>
                <c:pt idx="246">
                  <c:v>54.1</c:v>
                </c:pt>
                <c:pt idx="247">
                  <c:v>54.4</c:v>
                </c:pt>
                <c:pt idx="248">
                  <c:v>54.5</c:v>
                </c:pt>
                <c:pt idx="249">
                  <c:v>54.8</c:v>
                </c:pt>
                <c:pt idx="250">
                  <c:v>54</c:v>
                </c:pt>
                <c:pt idx="251">
                  <c:v>54.2</c:v>
                </c:pt>
                <c:pt idx="252">
                  <c:v>54.9</c:v>
                </c:pt>
                <c:pt idx="253">
                  <c:v>54.3</c:v>
                </c:pt>
                <c:pt idx="254">
                  <c:v>54.8</c:v>
                </c:pt>
                <c:pt idx="255">
                  <c:v>54.7</c:v>
                </c:pt>
                <c:pt idx="256">
                  <c:v>55.1</c:v>
                </c:pt>
                <c:pt idx="257">
                  <c:v>55</c:v>
                </c:pt>
                <c:pt idx="258">
                  <c:v>54.8</c:v>
                </c:pt>
                <c:pt idx="259">
                  <c:v>54.7</c:v>
                </c:pt>
                <c:pt idx="260">
                  <c:v>54.4</c:v>
                </c:pt>
                <c:pt idx="261">
                  <c:v>53.8</c:v>
                </c:pt>
                <c:pt idx="262">
                  <c:v>53.3</c:v>
                </c:pt>
                <c:pt idx="263">
                  <c:v>53</c:v>
                </c:pt>
                <c:pt idx="264">
                  <c:v>52.7</c:v>
                </c:pt>
                <c:pt idx="265">
                  <c:v>52.5</c:v>
                </c:pt>
                <c:pt idx="266">
                  <c:v>52.2</c:v>
                </c:pt>
                <c:pt idx="267">
                  <c:v>52.1</c:v>
                </c:pt>
                <c:pt idx="268">
                  <c:v>51.6</c:v>
                </c:pt>
                <c:pt idx="269">
                  <c:v>51.1</c:v>
                </c:pt>
                <c:pt idx="270">
                  <c:v>50.8</c:v>
                </c:pt>
                <c:pt idx="271">
                  <c:v>50.4</c:v>
                </c:pt>
                <c:pt idx="272">
                  <c:v>50.3</c:v>
                </c:pt>
                <c:pt idx="273">
                  <c:v>51.1</c:v>
                </c:pt>
                <c:pt idx="274">
                  <c:v>52.7</c:v>
                </c:pt>
                <c:pt idx="275">
                  <c:v>53.6</c:v>
                </c:pt>
                <c:pt idx="276">
                  <c:v>53.1</c:v>
                </c:pt>
                <c:pt idx="277">
                  <c:v>52.1</c:v>
                </c:pt>
                <c:pt idx="278">
                  <c:v>51.9</c:v>
                </c:pt>
                <c:pt idx="279">
                  <c:v>52</c:v>
                </c:pt>
                <c:pt idx="280">
                  <c:v>52.2</c:v>
                </c:pt>
                <c:pt idx="281">
                  <c:v>52.4</c:v>
                </c:pt>
                <c:pt idx="282">
                  <c:v>53</c:v>
                </c:pt>
                <c:pt idx="283">
                  <c:v>54.3</c:v>
                </c:pt>
                <c:pt idx="284">
                  <c:v>55.2</c:v>
                </c:pt>
                <c:pt idx="285">
                  <c:v>55.8</c:v>
                </c:pt>
                <c:pt idx="286">
                  <c:v>56.2</c:v>
                </c:pt>
                <c:pt idx="287">
                  <c:v>56.4</c:v>
                </c:pt>
                <c:pt idx="288">
                  <c:v>56.6</c:v>
                </c:pt>
                <c:pt idx="289">
                  <c:v>56.5</c:v>
                </c:pt>
                <c:pt idx="290">
                  <c:v>56.5</c:v>
                </c:pt>
                <c:pt idx="291">
                  <c:v>56.1</c:v>
                </c:pt>
                <c:pt idx="292">
                  <c:v>56.3</c:v>
                </c:pt>
                <c:pt idx="293">
                  <c:v>55.9</c:v>
                </c:pt>
                <c:pt idx="294">
                  <c:v>56.4</c:v>
                </c:pt>
                <c:pt idx="295">
                  <c:v>56.6</c:v>
                </c:pt>
                <c:pt idx="296">
                  <c:v>56.1</c:v>
                </c:pt>
                <c:pt idx="297">
                  <c:v>56</c:v>
                </c:pt>
                <c:pt idx="298">
                  <c:v>56.6</c:v>
                </c:pt>
                <c:pt idx="299">
                  <c:v>56.8</c:v>
                </c:pt>
                <c:pt idx="300">
                  <c:v>56.4</c:v>
                </c:pt>
                <c:pt idx="301">
                  <c:v>51.9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3-45ED-9395-9221067E9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77991"/>
        <c:axId val="62326661"/>
      </c:scatterChart>
      <c:valAx>
        <c:axId val="4187779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62326661"/>
        <c:crosses val="autoZero"/>
        <c:crossBetween val="midCat"/>
        <c:majorUnit val="20"/>
      </c:valAx>
      <c:valAx>
        <c:axId val="62326661"/>
        <c:scaling>
          <c:orientation val="minMax"/>
          <c:min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Temperatura [°C]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418777991"/>
        <c:crosses val="autoZero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2724024496937883"/>
          <c:y val="0.7135411198600174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xMode val="edge"/>
          <c:yMode val="edge"/>
          <c:x val="0.14624759405074367"/>
          <c:y val="5.0925925925925923E-2"/>
          <c:w val="0.81808573928258965"/>
          <c:h val="0.74102653834937304"/>
        </c:manualLayout>
      </c:layout>
      <c:scatterChart>
        <c:scatterStyle val="lineMarker"/>
        <c:varyColors val="0"/>
        <c:ser>
          <c:idx val="0"/>
          <c:order val="0"/>
          <c:tx>
            <c:v>Lote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'Parámetros proc.'!$A$3:$A$304</c:f>
              <c:numCache>
                <c:formatCode>General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</c:numCache>
            </c:numRef>
          </c:xVal>
          <c:yVal>
            <c:numRef>
              <c:f>'Parámetros proc.'!$E$3:$E$304</c:f>
              <c:numCache>
                <c:formatCode>General</c:formatCode>
                <c:ptCount val="302"/>
                <c:pt idx="0">
                  <c:v>0.66</c:v>
                </c:pt>
                <c:pt idx="1">
                  <c:v>3.13</c:v>
                </c:pt>
                <c:pt idx="2">
                  <c:v>5.84</c:v>
                </c:pt>
                <c:pt idx="3">
                  <c:v>2.1</c:v>
                </c:pt>
                <c:pt idx="4">
                  <c:v>2.5</c:v>
                </c:pt>
                <c:pt idx="5">
                  <c:v>2.16</c:v>
                </c:pt>
                <c:pt idx="6">
                  <c:v>2.16</c:v>
                </c:pt>
                <c:pt idx="7">
                  <c:v>2.11</c:v>
                </c:pt>
                <c:pt idx="8">
                  <c:v>2.14</c:v>
                </c:pt>
                <c:pt idx="9">
                  <c:v>2.2200000000000002</c:v>
                </c:pt>
                <c:pt idx="10">
                  <c:v>3.86</c:v>
                </c:pt>
                <c:pt idx="11">
                  <c:v>4.1399999999999997</c:v>
                </c:pt>
                <c:pt idx="12">
                  <c:v>4.8600000000000003</c:v>
                </c:pt>
                <c:pt idx="13">
                  <c:v>3.36</c:v>
                </c:pt>
                <c:pt idx="14">
                  <c:v>2.2799999999999998</c:v>
                </c:pt>
                <c:pt idx="15">
                  <c:v>2.08</c:v>
                </c:pt>
                <c:pt idx="16">
                  <c:v>2.13</c:v>
                </c:pt>
                <c:pt idx="17">
                  <c:v>2.16</c:v>
                </c:pt>
                <c:pt idx="18">
                  <c:v>3.49</c:v>
                </c:pt>
                <c:pt idx="19">
                  <c:v>4.62</c:v>
                </c:pt>
                <c:pt idx="20">
                  <c:v>3.11</c:v>
                </c:pt>
                <c:pt idx="21">
                  <c:v>2.0499999999999998</c:v>
                </c:pt>
                <c:pt idx="22">
                  <c:v>2.02</c:v>
                </c:pt>
                <c:pt idx="23">
                  <c:v>2.0699999999999998</c:v>
                </c:pt>
                <c:pt idx="24">
                  <c:v>3.4</c:v>
                </c:pt>
                <c:pt idx="25">
                  <c:v>3.97</c:v>
                </c:pt>
                <c:pt idx="26">
                  <c:v>3.89</c:v>
                </c:pt>
                <c:pt idx="27">
                  <c:v>1.89</c:v>
                </c:pt>
                <c:pt idx="28">
                  <c:v>1.68</c:v>
                </c:pt>
                <c:pt idx="29">
                  <c:v>1.96</c:v>
                </c:pt>
                <c:pt idx="30">
                  <c:v>2.14</c:v>
                </c:pt>
                <c:pt idx="31">
                  <c:v>3.78</c:v>
                </c:pt>
                <c:pt idx="32">
                  <c:v>4.45</c:v>
                </c:pt>
                <c:pt idx="33">
                  <c:v>2.74</c:v>
                </c:pt>
                <c:pt idx="34">
                  <c:v>3.83</c:v>
                </c:pt>
                <c:pt idx="35">
                  <c:v>4.51</c:v>
                </c:pt>
                <c:pt idx="36">
                  <c:v>3.99</c:v>
                </c:pt>
                <c:pt idx="37">
                  <c:v>2.48</c:v>
                </c:pt>
                <c:pt idx="38">
                  <c:v>2.2200000000000002</c:v>
                </c:pt>
                <c:pt idx="39">
                  <c:v>2.1</c:v>
                </c:pt>
                <c:pt idx="40">
                  <c:v>2.14</c:v>
                </c:pt>
                <c:pt idx="41">
                  <c:v>2.19</c:v>
                </c:pt>
                <c:pt idx="42">
                  <c:v>2.1</c:v>
                </c:pt>
                <c:pt idx="43">
                  <c:v>2.08</c:v>
                </c:pt>
                <c:pt idx="44">
                  <c:v>2.67</c:v>
                </c:pt>
                <c:pt idx="45">
                  <c:v>3.78</c:v>
                </c:pt>
                <c:pt idx="46">
                  <c:v>3.85</c:v>
                </c:pt>
                <c:pt idx="47">
                  <c:v>4.17</c:v>
                </c:pt>
                <c:pt idx="48">
                  <c:v>4.3099999999999996</c:v>
                </c:pt>
                <c:pt idx="49">
                  <c:v>2.66</c:v>
                </c:pt>
                <c:pt idx="50">
                  <c:v>2.0299999999999998</c:v>
                </c:pt>
                <c:pt idx="51">
                  <c:v>1.96</c:v>
                </c:pt>
                <c:pt idx="52">
                  <c:v>2.11</c:v>
                </c:pt>
                <c:pt idx="53">
                  <c:v>2.08</c:v>
                </c:pt>
                <c:pt idx="54">
                  <c:v>3.57</c:v>
                </c:pt>
                <c:pt idx="55">
                  <c:v>3.97</c:v>
                </c:pt>
                <c:pt idx="56">
                  <c:v>4.41</c:v>
                </c:pt>
                <c:pt idx="57">
                  <c:v>4.58</c:v>
                </c:pt>
                <c:pt idx="58">
                  <c:v>2.92</c:v>
                </c:pt>
                <c:pt idx="59">
                  <c:v>2.35</c:v>
                </c:pt>
                <c:pt idx="60">
                  <c:v>2.2799999999999998</c:v>
                </c:pt>
                <c:pt idx="61">
                  <c:v>1.96</c:v>
                </c:pt>
                <c:pt idx="62">
                  <c:v>1.85</c:v>
                </c:pt>
                <c:pt idx="63">
                  <c:v>2.0699999999999998</c:v>
                </c:pt>
                <c:pt idx="64">
                  <c:v>2.1</c:v>
                </c:pt>
                <c:pt idx="65">
                  <c:v>3.72</c:v>
                </c:pt>
                <c:pt idx="66">
                  <c:v>4.5599999999999996</c:v>
                </c:pt>
                <c:pt idx="67">
                  <c:v>3.23</c:v>
                </c:pt>
                <c:pt idx="68">
                  <c:v>2.38</c:v>
                </c:pt>
                <c:pt idx="69">
                  <c:v>2.2400000000000002</c:v>
                </c:pt>
                <c:pt idx="70">
                  <c:v>2.25</c:v>
                </c:pt>
                <c:pt idx="71">
                  <c:v>2.2200000000000002</c:v>
                </c:pt>
                <c:pt idx="72">
                  <c:v>2.15</c:v>
                </c:pt>
                <c:pt idx="73">
                  <c:v>2.1</c:v>
                </c:pt>
                <c:pt idx="74">
                  <c:v>2.1</c:v>
                </c:pt>
                <c:pt idx="75">
                  <c:v>2.13</c:v>
                </c:pt>
                <c:pt idx="76">
                  <c:v>2.11</c:v>
                </c:pt>
                <c:pt idx="77">
                  <c:v>2.0499999999999998</c:v>
                </c:pt>
                <c:pt idx="78">
                  <c:v>2.13</c:v>
                </c:pt>
                <c:pt idx="79">
                  <c:v>3.66</c:v>
                </c:pt>
                <c:pt idx="80">
                  <c:v>3.91</c:v>
                </c:pt>
                <c:pt idx="81">
                  <c:v>4.53</c:v>
                </c:pt>
                <c:pt idx="82">
                  <c:v>3.25</c:v>
                </c:pt>
                <c:pt idx="83">
                  <c:v>2.23</c:v>
                </c:pt>
                <c:pt idx="84">
                  <c:v>2.27</c:v>
                </c:pt>
                <c:pt idx="85">
                  <c:v>2.02</c:v>
                </c:pt>
                <c:pt idx="86">
                  <c:v>2.08</c:v>
                </c:pt>
                <c:pt idx="87">
                  <c:v>2.52</c:v>
                </c:pt>
                <c:pt idx="88">
                  <c:v>3.94</c:v>
                </c:pt>
                <c:pt idx="89">
                  <c:v>4.6399999999999997</c:v>
                </c:pt>
                <c:pt idx="90">
                  <c:v>2.27</c:v>
                </c:pt>
                <c:pt idx="91">
                  <c:v>2.0699999999999998</c:v>
                </c:pt>
                <c:pt idx="92">
                  <c:v>2.09</c:v>
                </c:pt>
                <c:pt idx="93">
                  <c:v>1.91</c:v>
                </c:pt>
                <c:pt idx="94">
                  <c:v>2.0699999999999998</c:v>
                </c:pt>
                <c:pt idx="95">
                  <c:v>3.38</c:v>
                </c:pt>
                <c:pt idx="96">
                  <c:v>3.69</c:v>
                </c:pt>
                <c:pt idx="97">
                  <c:v>3.96</c:v>
                </c:pt>
                <c:pt idx="98">
                  <c:v>3.88</c:v>
                </c:pt>
                <c:pt idx="99">
                  <c:v>2.25</c:v>
                </c:pt>
                <c:pt idx="100">
                  <c:v>2.19</c:v>
                </c:pt>
                <c:pt idx="101">
                  <c:v>1.99</c:v>
                </c:pt>
                <c:pt idx="102">
                  <c:v>2.08</c:v>
                </c:pt>
                <c:pt idx="103">
                  <c:v>2.4300000000000002</c:v>
                </c:pt>
                <c:pt idx="104">
                  <c:v>3.31</c:v>
                </c:pt>
                <c:pt idx="105">
                  <c:v>3.74</c:v>
                </c:pt>
                <c:pt idx="106">
                  <c:v>3.97</c:v>
                </c:pt>
                <c:pt idx="107">
                  <c:v>4.6100000000000003</c:v>
                </c:pt>
                <c:pt idx="108">
                  <c:v>4.58</c:v>
                </c:pt>
                <c:pt idx="109">
                  <c:v>4.13</c:v>
                </c:pt>
                <c:pt idx="110">
                  <c:v>3.26</c:v>
                </c:pt>
                <c:pt idx="111">
                  <c:v>2.2599999999999998</c:v>
                </c:pt>
                <c:pt idx="112">
                  <c:v>0.81</c:v>
                </c:pt>
                <c:pt idx="113">
                  <c:v>2.1</c:v>
                </c:pt>
                <c:pt idx="114">
                  <c:v>1.97</c:v>
                </c:pt>
                <c:pt idx="115">
                  <c:v>2.36</c:v>
                </c:pt>
                <c:pt idx="116">
                  <c:v>3.36</c:v>
                </c:pt>
                <c:pt idx="117">
                  <c:v>2.5</c:v>
                </c:pt>
                <c:pt idx="118">
                  <c:v>2.67</c:v>
                </c:pt>
                <c:pt idx="119">
                  <c:v>4.34</c:v>
                </c:pt>
                <c:pt idx="120">
                  <c:v>2.73</c:v>
                </c:pt>
                <c:pt idx="121">
                  <c:v>3.6</c:v>
                </c:pt>
                <c:pt idx="122">
                  <c:v>2.66</c:v>
                </c:pt>
                <c:pt idx="123">
                  <c:v>3.49</c:v>
                </c:pt>
                <c:pt idx="124">
                  <c:v>2.9</c:v>
                </c:pt>
                <c:pt idx="125">
                  <c:v>2.98</c:v>
                </c:pt>
                <c:pt idx="126">
                  <c:v>3.07</c:v>
                </c:pt>
                <c:pt idx="127">
                  <c:v>3.07</c:v>
                </c:pt>
                <c:pt idx="128">
                  <c:v>3.14</c:v>
                </c:pt>
                <c:pt idx="129">
                  <c:v>3.23</c:v>
                </c:pt>
                <c:pt idx="130">
                  <c:v>3.27</c:v>
                </c:pt>
                <c:pt idx="131">
                  <c:v>3.18</c:v>
                </c:pt>
                <c:pt idx="132">
                  <c:v>3.06</c:v>
                </c:pt>
                <c:pt idx="133">
                  <c:v>3.01</c:v>
                </c:pt>
                <c:pt idx="134">
                  <c:v>2.97</c:v>
                </c:pt>
                <c:pt idx="135">
                  <c:v>3.04</c:v>
                </c:pt>
                <c:pt idx="136">
                  <c:v>2.98</c:v>
                </c:pt>
                <c:pt idx="137">
                  <c:v>2.89</c:v>
                </c:pt>
                <c:pt idx="138">
                  <c:v>2.81</c:v>
                </c:pt>
                <c:pt idx="139">
                  <c:v>2.9</c:v>
                </c:pt>
                <c:pt idx="140">
                  <c:v>2.98</c:v>
                </c:pt>
                <c:pt idx="141">
                  <c:v>2.97</c:v>
                </c:pt>
                <c:pt idx="142">
                  <c:v>2.81</c:v>
                </c:pt>
                <c:pt idx="143">
                  <c:v>2.75</c:v>
                </c:pt>
                <c:pt idx="144">
                  <c:v>2.67</c:v>
                </c:pt>
                <c:pt idx="145">
                  <c:v>2.65</c:v>
                </c:pt>
                <c:pt idx="146">
                  <c:v>2.64</c:v>
                </c:pt>
                <c:pt idx="147">
                  <c:v>2.66</c:v>
                </c:pt>
                <c:pt idx="148">
                  <c:v>2.64</c:v>
                </c:pt>
                <c:pt idx="149">
                  <c:v>2.61</c:v>
                </c:pt>
                <c:pt idx="150">
                  <c:v>2.66</c:v>
                </c:pt>
                <c:pt idx="151">
                  <c:v>2.67</c:v>
                </c:pt>
                <c:pt idx="152">
                  <c:v>2.73</c:v>
                </c:pt>
                <c:pt idx="153">
                  <c:v>2.67</c:v>
                </c:pt>
                <c:pt idx="154">
                  <c:v>2.66</c:v>
                </c:pt>
                <c:pt idx="155">
                  <c:v>2.67</c:v>
                </c:pt>
                <c:pt idx="156">
                  <c:v>2.67</c:v>
                </c:pt>
                <c:pt idx="157">
                  <c:v>2.72</c:v>
                </c:pt>
                <c:pt idx="158">
                  <c:v>2.79</c:v>
                </c:pt>
                <c:pt idx="159">
                  <c:v>2.79</c:v>
                </c:pt>
                <c:pt idx="160">
                  <c:v>2.83</c:v>
                </c:pt>
                <c:pt idx="161">
                  <c:v>2.83</c:v>
                </c:pt>
                <c:pt idx="162">
                  <c:v>2.84</c:v>
                </c:pt>
                <c:pt idx="163">
                  <c:v>2.87</c:v>
                </c:pt>
                <c:pt idx="164">
                  <c:v>2.86</c:v>
                </c:pt>
                <c:pt idx="165">
                  <c:v>2.93</c:v>
                </c:pt>
                <c:pt idx="166">
                  <c:v>2.86</c:v>
                </c:pt>
                <c:pt idx="167">
                  <c:v>2.89</c:v>
                </c:pt>
                <c:pt idx="168">
                  <c:v>2.87</c:v>
                </c:pt>
                <c:pt idx="169">
                  <c:v>2.9</c:v>
                </c:pt>
                <c:pt idx="170">
                  <c:v>2.97</c:v>
                </c:pt>
                <c:pt idx="171">
                  <c:v>2.95</c:v>
                </c:pt>
                <c:pt idx="172">
                  <c:v>2.92</c:v>
                </c:pt>
                <c:pt idx="173">
                  <c:v>2.86</c:v>
                </c:pt>
                <c:pt idx="174">
                  <c:v>2.84</c:v>
                </c:pt>
                <c:pt idx="175">
                  <c:v>2.73</c:v>
                </c:pt>
                <c:pt idx="176">
                  <c:v>2.67</c:v>
                </c:pt>
                <c:pt idx="177">
                  <c:v>2.72</c:v>
                </c:pt>
                <c:pt idx="178">
                  <c:v>2.81</c:v>
                </c:pt>
                <c:pt idx="179">
                  <c:v>2.79</c:v>
                </c:pt>
                <c:pt idx="180">
                  <c:v>2.84</c:v>
                </c:pt>
                <c:pt idx="181">
                  <c:v>2.9</c:v>
                </c:pt>
                <c:pt idx="182">
                  <c:v>2.89</c:v>
                </c:pt>
                <c:pt idx="183">
                  <c:v>2.98</c:v>
                </c:pt>
                <c:pt idx="184">
                  <c:v>3.04</c:v>
                </c:pt>
                <c:pt idx="185">
                  <c:v>2.98</c:v>
                </c:pt>
                <c:pt idx="186">
                  <c:v>3</c:v>
                </c:pt>
                <c:pt idx="187">
                  <c:v>3.06</c:v>
                </c:pt>
                <c:pt idx="188">
                  <c:v>3.04</c:v>
                </c:pt>
                <c:pt idx="189">
                  <c:v>3.09</c:v>
                </c:pt>
                <c:pt idx="190">
                  <c:v>3.12</c:v>
                </c:pt>
                <c:pt idx="191">
                  <c:v>3.13</c:v>
                </c:pt>
                <c:pt idx="192">
                  <c:v>3.06</c:v>
                </c:pt>
                <c:pt idx="193">
                  <c:v>3.09</c:v>
                </c:pt>
                <c:pt idx="194">
                  <c:v>3.09</c:v>
                </c:pt>
                <c:pt idx="195">
                  <c:v>3.06</c:v>
                </c:pt>
                <c:pt idx="196">
                  <c:v>3.09</c:v>
                </c:pt>
                <c:pt idx="197">
                  <c:v>3.1</c:v>
                </c:pt>
                <c:pt idx="198">
                  <c:v>3.07</c:v>
                </c:pt>
                <c:pt idx="199">
                  <c:v>3.06</c:v>
                </c:pt>
                <c:pt idx="200">
                  <c:v>3.03</c:v>
                </c:pt>
                <c:pt idx="201">
                  <c:v>3.3</c:v>
                </c:pt>
                <c:pt idx="202">
                  <c:v>2.98</c:v>
                </c:pt>
                <c:pt idx="203">
                  <c:v>3.04</c:v>
                </c:pt>
                <c:pt idx="204">
                  <c:v>2.98</c:v>
                </c:pt>
                <c:pt idx="205">
                  <c:v>2.9</c:v>
                </c:pt>
                <c:pt idx="206">
                  <c:v>2.95</c:v>
                </c:pt>
                <c:pt idx="207">
                  <c:v>2.78</c:v>
                </c:pt>
                <c:pt idx="208">
                  <c:v>3.62</c:v>
                </c:pt>
                <c:pt idx="209">
                  <c:v>2.87</c:v>
                </c:pt>
                <c:pt idx="210">
                  <c:v>2.8</c:v>
                </c:pt>
                <c:pt idx="211">
                  <c:v>2.81</c:v>
                </c:pt>
                <c:pt idx="212">
                  <c:v>2.8</c:v>
                </c:pt>
                <c:pt idx="213">
                  <c:v>3.45</c:v>
                </c:pt>
                <c:pt idx="214">
                  <c:v>2.84</c:v>
                </c:pt>
                <c:pt idx="215">
                  <c:v>2.87</c:v>
                </c:pt>
                <c:pt idx="216">
                  <c:v>2.92</c:v>
                </c:pt>
                <c:pt idx="217">
                  <c:v>2.84</c:v>
                </c:pt>
                <c:pt idx="218">
                  <c:v>2.89</c:v>
                </c:pt>
                <c:pt idx="219">
                  <c:v>2.92</c:v>
                </c:pt>
                <c:pt idx="220">
                  <c:v>2.87</c:v>
                </c:pt>
                <c:pt idx="221">
                  <c:v>2.9</c:v>
                </c:pt>
                <c:pt idx="222">
                  <c:v>2.95</c:v>
                </c:pt>
                <c:pt idx="223">
                  <c:v>2.86</c:v>
                </c:pt>
                <c:pt idx="224">
                  <c:v>2.81</c:v>
                </c:pt>
                <c:pt idx="225">
                  <c:v>2.81</c:v>
                </c:pt>
                <c:pt idx="226">
                  <c:v>2.79</c:v>
                </c:pt>
                <c:pt idx="227">
                  <c:v>2.64</c:v>
                </c:pt>
                <c:pt idx="228">
                  <c:v>2.69</c:v>
                </c:pt>
                <c:pt idx="229">
                  <c:v>2.67</c:v>
                </c:pt>
                <c:pt idx="230">
                  <c:v>2.69</c:v>
                </c:pt>
                <c:pt idx="231">
                  <c:v>2.78</c:v>
                </c:pt>
                <c:pt idx="232">
                  <c:v>2.86</c:v>
                </c:pt>
                <c:pt idx="233">
                  <c:v>2.9</c:v>
                </c:pt>
                <c:pt idx="234">
                  <c:v>2.92</c:v>
                </c:pt>
                <c:pt idx="235">
                  <c:v>2.98</c:v>
                </c:pt>
                <c:pt idx="236">
                  <c:v>2.9</c:v>
                </c:pt>
                <c:pt idx="237">
                  <c:v>2.89</c:v>
                </c:pt>
                <c:pt idx="238">
                  <c:v>3</c:v>
                </c:pt>
                <c:pt idx="239">
                  <c:v>2.98</c:v>
                </c:pt>
                <c:pt idx="240">
                  <c:v>2.95</c:v>
                </c:pt>
                <c:pt idx="241">
                  <c:v>2.89</c:v>
                </c:pt>
                <c:pt idx="242">
                  <c:v>2.9</c:v>
                </c:pt>
                <c:pt idx="243">
                  <c:v>3.01</c:v>
                </c:pt>
                <c:pt idx="244">
                  <c:v>3.03</c:v>
                </c:pt>
                <c:pt idx="245">
                  <c:v>3.26</c:v>
                </c:pt>
                <c:pt idx="246">
                  <c:v>2.92</c:v>
                </c:pt>
                <c:pt idx="247">
                  <c:v>2.96</c:v>
                </c:pt>
                <c:pt idx="248">
                  <c:v>2.95</c:v>
                </c:pt>
                <c:pt idx="249">
                  <c:v>3.46</c:v>
                </c:pt>
                <c:pt idx="250">
                  <c:v>2.76</c:v>
                </c:pt>
                <c:pt idx="251">
                  <c:v>2.83</c:v>
                </c:pt>
                <c:pt idx="252">
                  <c:v>2.83</c:v>
                </c:pt>
                <c:pt idx="253">
                  <c:v>2.76</c:v>
                </c:pt>
                <c:pt idx="254">
                  <c:v>3.07</c:v>
                </c:pt>
                <c:pt idx="255">
                  <c:v>2.83</c:v>
                </c:pt>
                <c:pt idx="256">
                  <c:v>2.89</c:v>
                </c:pt>
                <c:pt idx="257">
                  <c:v>2.92</c:v>
                </c:pt>
                <c:pt idx="258">
                  <c:v>2.95</c:v>
                </c:pt>
                <c:pt idx="259">
                  <c:v>2.95</c:v>
                </c:pt>
                <c:pt idx="260">
                  <c:v>2.98</c:v>
                </c:pt>
                <c:pt idx="261">
                  <c:v>2.89</c:v>
                </c:pt>
                <c:pt idx="262">
                  <c:v>2.92</c:v>
                </c:pt>
                <c:pt idx="263">
                  <c:v>2.9</c:v>
                </c:pt>
                <c:pt idx="264">
                  <c:v>2.84</c:v>
                </c:pt>
                <c:pt idx="265">
                  <c:v>2.81</c:v>
                </c:pt>
                <c:pt idx="266">
                  <c:v>2.78</c:v>
                </c:pt>
                <c:pt idx="267">
                  <c:v>2.78</c:v>
                </c:pt>
                <c:pt idx="268">
                  <c:v>2.78</c:v>
                </c:pt>
                <c:pt idx="269">
                  <c:v>2.84</c:v>
                </c:pt>
                <c:pt idx="270">
                  <c:v>2.84</c:v>
                </c:pt>
                <c:pt idx="271">
                  <c:v>2.78</c:v>
                </c:pt>
                <c:pt idx="272">
                  <c:v>2.79</c:v>
                </c:pt>
                <c:pt idx="273">
                  <c:v>2.78</c:v>
                </c:pt>
                <c:pt idx="274">
                  <c:v>2.78</c:v>
                </c:pt>
                <c:pt idx="275">
                  <c:v>2.81</c:v>
                </c:pt>
                <c:pt idx="276">
                  <c:v>2.87</c:v>
                </c:pt>
                <c:pt idx="277">
                  <c:v>2.89</c:v>
                </c:pt>
                <c:pt idx="278">
                  <c:v>2.89</c:v>
                </c:pt>
                <c:pt idx="279">
                  <c:v>2.9</c:v>
                </c:pt>
                <c:pt idx="280">
                  <c:v>2.95</c:v>
                </c:pt>
                <c:pt idx="281">
                  <c:v>2.93</c:v>
                </c:pt>
                <c:pt idx="282">
                  <c:v>2.95</c:v>
                </c:pt>
                <c:pt idx="283">
                  <c:v>2.92</c:v>
                </c:pt>
                <c:pt idx="284">
                  <c:v>2.97</c:v>
                </c:pt>
                <c:pt idx="285">
                  <c:v>2.98</c:v>
                </c:pt>
                <c:pt idx="286">
                  <c:v>3.01</c:v>
                </c:pt>
                <c:pt idx="287">
                  <c:v>2.95</c:v>
                </c:pt>
                <c:pt idx="288">
                  <c:v>2.98</c:v>
                </c:pt>
                <c:pt idx="289">
                  <c:v>3.03</c:v>
                </c:pt>
                <c:pt idx="290">
                  <c:v>3.03</c:v>
                </c:pt>
                <c:pt idx="291">
                  <c:v>2.95</c:v>
                </c:pt>
                <c:pt idx="292">
                  <c:v>2.87</c:v>
                </c:pt>
                <c:pt idx="293">
                  <c:v>2.72</c:v>
                </c:pt>
                <c:pt idx="294">
                  <c:v>3.33</c:v>
                </c:pt>
                <c:pt idx="295">
                  <c:v>2.81</c:v>
                </c:pt>
                <c:pt idx="296">
                  <c:v>2.78</c:v>
                </c:pt>
                <c:pt idx="297">
                  <c:v>2.87</c:v>
                </c:pt>
                <c:pt idx="298">
                  <c:v>2.87</c:v>
                </c:pt>
                <c:pt idx="299">
                  <c:v>3</c:v>
                </c:pt>
                <c:pt idx="300">
                  <c:v>4.16</c:v>
                </c:pt>
                <c:pt idx="301">
                  <c:v>2.4700000000000002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E7-4796-828B-A65AD6CE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102719"/>
        <c:axId val="346206116"/>
      </c:scatterChart>
      <c:valAx>
        <c:axId val="1691102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46206116"/>
        <c:crosses val="autoZero"/>
        <c:crossBetween val="midCat"/>
        <c:majorUnit val="20"/>
        <c:minorUnit val="2"/>
      </c:valAx>
      <c:valAx>
        <c:axId val="346206116"/>
        <c:scaling>
          <c:orientation val="minMax"/>
          <c:max val="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S" sz="1000" b="1" i="0">
                    <a:solidFill>
                      <a:srgbClr val="000000"/>
                    </a:solidFill>
                    <a:latin typeface="+mn-lt"/>
                  </a:rPr>
                  <a:t>Velocidad aire  [m/s]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691102719"/>
        <c:crosses val="autoZero"/>
        <c:crossBetween val="midCat"/>
        <c:majorUnit val="1"/>
        <c:minorUnit val="0.2"/>
      </c:valAx>
    </c:plotArea>
    <c:legend>
      <c:legendPos val="r"/>
      <c:layout>
        <c:manualLayout>
          <c:xMode val="edge"/>
          <c:yMode val="edge"/>
          <c:x val="0.81406911636045509"/>
          <c:y val="0.20891149023038788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image" Target="../media/image1.png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15</xdr:row>
      <xdr:rowOff>0</xdr:rowOff>
    </xdr:from>
    <xdr:ext cx="5457825" cy="3000375"/>
    <xdr:graphicFrame macro="">
      <xdr:nvGraphicFramePr>
        <xdr:cNvPr id="955058885" name="Chart 1">
          <a:extLst>
            <a:ext uri="{FF2B5EF4-FFF2-40B4-BE49-F238E27FC236}">
              <a16:creationId xmlns:a16="http://schemas.microsoft.com/office/drawing/2014/main" id="{00000000-0008-0000-0000-0000C50AE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142875</xdr:colOff>
      <xdr:row>15</xdr:row>
      <xdr:rowOff>0</xdr:rowOff>
    </xdr:from>
    <xdr:ext cx="3724275" cy="2876550"/>
    <xdr:graphicFrame macro="">
      <xdr:nvGraphicFramePr>
        <xdr:cNvPr id="1532046150" name="Chart 2">
          <a:extLst>
            <a:ext uri="{FF2B5EF4-FFF2-40B4-BE49-F238E27FC236}">
              <a16:creationId xmlns:a16="http://schemas.microsoft.com/office/drawing/2014/main" id="{00000000-0008-0000-0000-0000462B5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15</xdr:row>
      <xdr:rowOff>0</xdr:rowOff>
    </xdr:from>
    <xdr:ext cx="5457825" cy="3000375"/>
    <xdr:graphicFrame macro="">
      <xdr:nvGraphicFramePr>
        <xdr:cNvPr id="1042189474" name="Chart 3">
          <a:extLst>
            <a:ext uri="{FF2B5EF4-FFF2-40B4-BE49-F238E27FC236}">
              <a16:creationId xmlns:a16="http://schemas.microsoft.com/office/drawing/2014/main" id="{00000000-0008-0000-0100-0000A28C1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142875</xdr:colOff>
      <xdr:row>15</xdr:row>
      <xdr:rowOff>0</xdr:rowOff>
    </xdr:from>
    <xdr:ext cx="3724275" cy="2876550"/>
    <xdr:graphicFrame macro="">
      <xdr:nvGraphicFramePr>
        <xdr:cNvPr id="314452064" name="Chart 4">
          <a:extLst>
            <a:ext uri="{FF2B5EF4-FFF2-40B4-BE49-F238E27FC236}">
              <a16:creationId xmlns:a16="http://schemas.microsoft.com/office/drawing/2014/main" id="{00000000-0008-0000-0100-00006028B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14</xdr:row>
      <xdr:rowOff>95250</xdr:rowOff>
    </xdr:from>
    <xdr:ext cx="5457825" cy="3000375"/>
    <xdr:graphicFrame macro="">
      <xdr:nvGraphicFramePr>
        <xdr:cNvPr id="429597719" name="Chart 5">
          <a:extLst>
            <a:ext uri="{FF2B5EF4-FFF2-40B4-BE49-F238E27FC236}">
              <a16:creationId xmlns:a16="http://schemas.microsoft.com/office/drawing/2014/main" id="{00000000-0008-0000-0200-000017249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142875</xdr:colOff>
      <xdr:row>15</xdr:row>
      <xdr:rowOff>0</xdr:rowOff>
    </xdr:from>
    <xdr:ext cx="3724275" cy="2876550"/>
    <xdr:graphicFrame macro="">
      <xdr:nvGraphicFramePr>
        <xdr:cNvPr id="276851098" name="Chart 6">
          <a:extLst>
            <a:ext uri="{FF2B5EF4-FFF2-40B4-BE49-F238E27FC236}">
              <a16:creationId xmlns:a16="http://schemas.microsoft.com/office/drawing/2014/main" id="{00000000-0008-0000-0200-00009A698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45</xdr:row>
      <xdr:rowOff>133350</xdr:rowOff>
    </xdr:from>
    <xdr:ext cx="4629150" cy="2390775"/>
    <xdr:graphicFrame macro="">
      <xdr:nvGraphicFramePr>
        <xdr:cNvPr id="737690443" name="Chart 7">
          <a:extLst>
            <a:ext uri="{FF2B5EF4-FFF2-40B4-BE49-F238E27FC236}">
              <a16:creationId xmlns:a16="http://schemas.microsoft.com/office/drawing/2014/main" id="{00000000-0008-0000-0300-00004B43F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14</xdr:row>
      <xdr:rowOff>0</xdr:rowOff>
    </xdr:from>
    <xdr:ext cx="5267325" cy="2876550"/>
    <xdr:graphicFrame macro="">
      <xdr:nvGraphicFramePr>
        <xdr:cNvPr id="789539431" name="Chart 8">
          <a:extLst>
            <a:ext uri="{FF2B5EF4-FFF2-40B4-BE49-F238E27FC236}">
              <a16:creationId xmlns:a16="http://schemas.microsoft.com/office/drawing/2014/main" id="{00000000-0008-0000-0400-0000676A0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561975</xdr:colOff>
      <xdr:row>28</xdr:row>
      <xdr:rowOff>0</xdr:rowOff>
    </xdr:from>
    <xdr:ext cx="5514975" cy="2876550"/>
    <xdr:graphicFrame macro="">
      <xdr:nvGraphicFramePr>
        <xdr:cNvPr id="1615430851" name="Chart 9">
          <a:extLst>
            <a:ext uri="{FF2B5EF4-FFF2-40B4-BE49-F238E27FC236}">
              <a16:creationId xmlns:a16="http://schemas.microsoft.com/office/drawing/2014/main" id="{00000000-0008-0000-0400-0000C3844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114300</xdr:colOff>
      <xdr:row>28</xdr:row>
      <xdr:rowOff>180975</xdr:rowOff>
    </xdr:from>
    <xdr:ext cx="5267325" cy="2886075"/>
    <xdr:graphicFrame macro="">
      <xdr:nvGraphicFramePr>
        <xdr:cNvPr id="598593778" name="Chart 10">
          <a:extLst>
            <a:ext uri="{FF2B5EF4-FFF2-40B4-BE49-F238E27FC236}">
              <a16:creationId xmlns:a16="http://schemas.microsoft.com/office/drawing/2014/main" id="{00000000-0008-0000-0400-0000F2D0A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171450</xdr:colOff>
      <xdr:row>43</xdr:row>
      <xdr:rowOff>180975</xdr:rowOff>
    </xdr:from>
    <xdr:ext cx="5267325" cy="2886075"/>
    <xdr:graphicFrame macro="">
      <xdr:nvGraphicFramePr>
        <xdr:cNvPr id="276141444" name="Chart 11">
          <a:extLst>
            <a:ext uri="{FF2B5EF4-FFF2-40B4-BE49-F238E27FC236}">
              <a16:creationId xmlns:a16="http://schemas.microsoft.com/office/drawing/2014/main" id="{00000000-0008-0000-0400-000084957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0</xdr:colOff>
      <xdr:row>23</xdr:row>
      <xdr:rowOff>161925</xdr:rowOff>
    </xdr:from>
    <xdr:ext cx="19335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4857750" cy="2876550"/>
    <xdr:graphicFrame macro="">
      <xdr:nvGraphicFramePr>
        <xdr:cNvPr id="664469168" name="Chart 12">
          <a:extLst>
            <a:ext uri="{FF2B5EF4-FFF2-40B4-BE49-F238E27FC236}">
              <a16:creationId xmlns:a16="http://schemas.microsoft.com/office/drawing/2014/main" id="{00000000-0008-0000-0800-0000B0FE9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752475</xdr:colOff>
      <xdr:row>16</xdr:row>
      <xdr:rowOff>142875</xdr:rowOff>
    </xdr:from>
    <xdr:ext cx="4857750" cy="2886075"/>
    <xdr:graphicFrame macro="">
      <xdr:nvGraphicFramePr>
        <xdr:cNvPr id="1874939803" name="Chart 13">
          <a:extLst>
            <a:ext uri="{FF2B5EF4-FFF2-40B4-BE49-F238E27FC236}">
              <a16:creationId xmlns:a16="http://schemas.microsoft.com/office/drawing/2014/main" id="{00000000-0008-0000-0800-00009B4FC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695325</xdr:colOff>
      <xdr:row>31</xdr:row>
      <xdr:rowOff>161925</xdr:rowOff>
    </xdr:from>
    <xdr:ext cx="4857750" cy="2886075"/>
    <xdr:graphicFrame macro="">
      <xdr:nvGraphicFramePr>
        <xdr:cNvPr id="1788876377" name="Chart 14">
          <a:extLst>
            <a:ext uri="{FF2B5EF4-FFF2-40B4-BE49-F238E27FC236}">
              <a16:creationId xmlns:a16="http://schemas.microsoft.com/office/drawing/2014/main" id="{00000000-0008-0000-0800-00005916A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733425</xdr:colOff>
      <xdr:row>47</xdr:row>
      <xdr:rowOff>47625</xdr:rowOff>
    </xdr:from>
    <xdr:ext cx="4857750" cy="2876550"/>
    <xdr:graphicFrame macro="">
      <xdr:nvGraphicFramePr>
        <xdr:cNvPr id="1501165657" name="Chart 15">
          <a:extLst>
            <a:ext uri="{FF2B5EF4-FFF2-40B4-BE49-F238E27FC236}">
              <a16:creationId xmlns:a16="http://schemas.microsoft.com/office/drawing/2014/main" id="{00000000-0008-0000-0800-000059F87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000"/>
  <sheetViews>
    <sheetView workbookViewId="0">
      <pane xSplit="1" topLeftCell="B1" activePane="topRight" state="frozen"/>
      <selection pane="topRight" activeCell="C2" sqref="C2:G2"/>
    </sheetView>
  </sheetViews>
  <sheetFormatPr baseColWidth="10" defaultColWidth="12.5703125" defaultRowHeight="15" customHeight="1"/>
  <cols>
    <col min="1" max="8" width="10.5703125" customWidth="1"/>
    <col min="9" max="9" width="11.7109375" customWidth="1"/>
    <col min="10" max="31" width="10.5703125" customWidth="1"/>
  </cols>
  <sheetData>
    <row r="2" spans="1:31">
      <c r="A2" s="148" t="s">
        <v>0</v>
      </c>
      <c r="B2" s="148" t="s">
        <v>1</v>
      </c>
      <c r="C2" s="143" t="s">
        <v>2</v>
      </c>
      <c r="D2" s="141"/>
      <c r="E2" s="141"/>
      <c r="F2" s="141"/>
      <c r="G2" s="142"/>
      <c r="H2" s="144" t="s">
        <v>3</v>
      </c>
      <c r="I2" s="146" t="s">
        <v>4</v>
      </c>
      <c r="J2" s="140" t="s">
        <v>5</v>
      </c>
      <c r="K2" s="141"/>
      <c r="L2" s="142"/>
      <c r="M2" s="144" t="s">
        <v>3</v>
      </c>
      <c r="N2" s="146" t="s">
        <v>4</v>
      </c>
      <c r="O2" s="143" t="s">
        <v>6</v>
      </c>
      <c r="P2" s="141"/>
      <c r="Q2" s="142"/>
      <c r="R2" s="144" t="s">
        <v>3</v>
      </c>
      <c r="S2" s="146" t="s">
        <v>4</v>
      </c>
      <c r="T2" s="143" t="s">
        <v>7</v>
      </c>
      <c r="U2" s="141"/>
      <c r="V2" s="141"/>
      <c r="W2" s="141"/>
      <c r="X2" s="142"/>
      <c r="Y2" s="143" t="s">
        <v>8</v>
      </c>
      <c r="Z2" s="141"/>
      <c r="AA2" s="141"/>
      <c r="AB2" s="141"/>
      <c r="AC2" s="142"/>
      <c r="AD2" s="144" t="s">
        <v>3</v>
      </c>
      <c r="AE2" s="146" t="s">
        <v>4</v>
      </c>
    </row>
    <row r="3" spans="1:31">
      <c r="A3" s="149"/>
      <c r="B3" s="149"/>
      <c r="C3" s="1">
        <v>1</v>
      </c>
      <c r="D3" s="2">
        <v>2</v>
      </c>
      <c r="E3" s="2">
        <v>3</v>
      </c>
      <c r="F3" s="2">
        <v>4</v>
      </c>
      <c r="G3" s="2">
        <v>5</v>
      </c>
      <c r="H3" s="145"/>
      <c r="I3" s="147"/>
      <c r="J3" s="2">
        <v>1</v>
      </c>
      <c r="K3" s="2">
        <v>2</v>
      </c>
      <c r="L3" s="2">
        <v>3</v>
      </c>
      <c r="M3" s="145"/>
      <c r="N3" s="147"/>
      <c r="O3" s="1">
        <v>1</v>
      </c>
      <c r="P3" s="2">
        <v>2</v>
      </c>
      <c r="Q3" s="2">
        <v>3</v>
      </c>
      <c r="R3" s="145"/>
      <c r="S3" s="147"/>
      <c r="T3" s="1">
        <v>1</v>
      </c>
      <c r="U3" s="2">
        <v>2</v>
      </c>
      <c r="V3" s="2">
        <v>3</v>
      </c>
      <c r="W3" s="2">
        <v>4</v>
      </c>
      <c r="X3" s="2">
        <v>5</v>
      </c>
      <c r="Y3" s="1">
        <v>1</v>
      </c>
      <c r="Z3" s="2">
        <v>2</v>
      </c>
      <c r="AA3" s="2">
        <v>3</v>
      </c>
      <c r="AB3" s="2">
        <v>4</v>
      </c>
      <c r="AC3" s="2">
        <v>5</v>
      </c>
      <c r="AD3" s="145"/>
      <c r="AE3" s="147"/>
    </row>
    <row r="4" spans="1:31">
      <c r="A4" s="3">
        <v>0</v>
      </c>
      <c r="B4" s="3">
        <v>0</v>
      </c>
      <c r="C4" s="4">
        <v>1540</v>
      </c>
      <c r="D4" s="5">
        <v>1532</v>
      </c>
      <c r="E4" s="5">
        <v>1539</v>
      </c>
      <c r="F4" s="5">
        <v>1535</v>
      </c>
      <c r="G4" s="5">
        <v>1542</v>
      </c>
      <c r="H4" s="6">
        <f t="shared" ref="H4:H14" si="0">ROUNDDOWN(AVERAGE(C4:G4),0)</f>
        <v>1537</v>
      </c>
      <c r="I4" s="7">
        <f t="shared" ref="I4:I14" si="1">_xlfn.STDEV.S(C4:G4)</f>
        <v>4.0373258476372698</v>
      </c>
      <c r="J4" s="8"/>
      <c r="K4" s="9">
        <v>0.91169999999999995</v>
      </c>
      <c r="L4" s="8"/>
      <c r="M4" s="10">
        <f t="shared" ref="M4:M14" si="2">AVERAGE(J4:L4)</f>
        <v>0.91169999999999995</v>
      </c>
      <c r="N4" s="7" t="e">
        <f t="shared" ref="N4:N14" si="3">_xlfn.STDEV.S(J4:L4)</f>
        <v>#DIV/0!</v>
      </c>
      <c r="O4" s="8">
        <v>0</v>
      </c>
      <c r="P4" s="8">
        <v>0</v>
      </c>
      <c r="Q4" s="8">
        <v>0</v>
      </c>
      <c r="R4" s="10">
        <f t="shared" ref="R4:R14" si="4">AVERAGE(O4:Q4)</f>
        <v>0</v>
      </c>
      <c r="S4" s="7">
        <f t="shared" ref="S4:S14" si="5">_xlfn.STDEV.S(O4:Q4)</f>
        <v>0</v>
      </c>
      <c r="T4" s="8">
        <v>0.92530000000000001</v>
      </c>
      <c r="U4" s="8">
        <v>0.9143</v>
      </c>
      <c r="V4" s="8">
        <v>0.91649999999999998</v>
      </c>
      <c r="W4" s="8">
        <v>0.91100000000000003</v>
      </c>
      <c r="X4" s="8">
        <v>0.92310000000000003</v>
      </c>
      <c r="Y4" s="11">
        <v>0.88529999999999998</v>
      </c>
      <c r="Z4" s="12">
        <v>0.88529999999999998</v>
      </c>
      <c r="AA4" s="12">
        <v>0.87790000000000001</v>
      </c>
      <c r="AB4" s="12">
        <v>0.87790000000000001</v>
      </c>
      <c r="AC4" s="12">
        <v>0.88239999999999996</v>
      </c>
      <c r="AD4" s="10">
        <f t="shared" ref="AD4:AD14" si="6">AVERAGE(T4:AC4)</f>
        <v>0.89990000000000003</v>
      </c>
      <c r="AE4" s="13">
        <f t="shared" ref="AE4:AE14" si="7">_xlfn.STDEV.S(T4:AC4)</f>
        <v>1.9692356103038797E-2</v>
      </c>
    </row>
    <row r="5" spans="1:31">
      <c r="A5" s="3">
        <v>1</v>
      </c>
      <c r="B5" s="3">
        <v>20</v>
      </c>
      <c r="C5" s="14">
        <v>1470</v>
      </c>
      <c r="D5" s="15">
        <v>1512</v>
      </c>
      <c r="E5" s="15">
        <v>1462</v>
      </c>
      <c r="F5" s="16">
        <v>1521</v>
      </c>
      <c r="G5" s="16">
        <v>1502</v>
      </c>
      <c r="H5" s="6">
        <f t="shared" si="0"/>
        <v>1493</v>
      </c>
      <c r="I5" s="7">
        <f t="shared" si="1"/>
        <v>26.053790511171304</v>
      </c>
      <c r="J5" s="8"/>
      <c r="K5" s="17">
        <v>1.0175000000000001</v>
      </c>
      <c r="L5" s="8"/>
      <c r="M5" s="10">
        <f t="shared" si="2"/>
        <v>1.0175000000000001</v>
      </c>
      <c r="N5" s="7" t="e">
        <f t="shared" si="3"/>
        <v>#DIV/0!</v>
      </c>
      <c r="O5" s="18"/>
      <c r="P5" s="8">
        <v>6.7000000000000002E-3</v>
      </c>
      <c r="Q5" s="8"/>
      <c r="R5" s="10">
        <f t="shared" si="4"/>
        <v>6.7000000000000002E-3</v>
      </c>
      <c r="S5" s="19" t="e">
        <f t="shared" si="5"/>
        <v>#DIV/0!</v>
      </c>
      <c r="T5" s="20">
        <v>0.9021978021978021</v>
      </c>
      <c r="U5" s="21">
        <v>0.89120879120879126</v>
      </c>
      <c r="V5" s="21">
        <v>0.90879120879120867</v>
      </c>
      <c r="W5" s="21">
        <v>0.91538461538461535</v>
      </c>
      <c r="X5" s="21">
        <v>0.90549450549450539</v>
      </c>
      <c r="Y5" s="20">
        <v>0.89705882352941169</v>
      </c>
      <c r="Z5" s="21">
        <v>0.90588235294117636</v>
      </c>
      <c r="AA5" s="21">
        <v>0.89705882352941169</v>
      </c>
      <c r="AB5" s="21">
        <v>0.89264705882352935</v>
      </c>
      <c r="AC5" s="21">
        <v>0.89705882352941169</v>
      </c>
      <c r="AD5" s="10">
        <f t="shared" si="6"/>
        <v>0.90127828054298631</v>
      </c>
      <c r="AE5" s="13">
        <f t="shared" si="7"/>
        <v>7.6343986547763856E-3</v>
      </c>
    </row>
    <row r="6" spans="1:31">
      <c r="A6" s="3">
        <v>2</v>
      </c>
      <c r="B6" s="3">
        <v>40</v>
      </c>
      <c r="C6" s="14">
        <v>1444</v>
      </c>
      <c r="D6" s="15">
        <v>1451</v>
      </c>
      <c r="E6" s="15">
        <v>1425</v>
      </c>
      <c r="F6" s="16">
        <v>1447</v>
      </c>
      <c r="G6" s="16">
        <v>1547</v>
      </c>
      <c r="H6" s="6">
        <f t="shared" si="0"/>
        <v>1462</v>
      </c>
      <c r="I6" s="7">
        <f t="shared" si="1"/>
        <v>48.116525227825832</v>
      </c>
      <c r="J6" s="8"/>
      <c r="K6" s="17">
        <v>1.0222</v>
      </c>
      <c r="L6" s="8"/>
      <c r="M6" s="10">
        <f t="shared" si="2"/>
        <v>1.0222</v>
      </c>
      <c r="N6" s="7" t="e">
        <f t="shared" si="3"/>
        <v>#DIV/0!</v>
      </c>
      <c r="O6" s="18"/>
      <c r="P6" s="8">
        <v>1.11E-2</v>
      </c>
      <c r="Q6" s="8"/>
      <c r="R6" s="10">
        <f t="shared" si="4"/>
        <v>1.11E-2</v>
      </c>
      <c r="S6" s="19" t="e">
        <f t="shared" si="5"/>
        <v>#DIV/0!</v>
      </c>
      <c r="T6" s="20">
        <v>0.94175824175824174</v>
      </c>
      <c r="U6" s="21">
        <v>0.93076923076923068</v>
      </c>
      <c r="V6" s="21">
        <v>0.9505494505494505</v>
      </c>
      <c r="W6" s="21">
        <v>0.93406593406593397</v>
      </c>
      <c r="X6" s="21">
        <v>0.94175824175824174</v>
      </c>
      <c r="Y6" s="20">
        <v>0.8985294117647058</v>
      </c>
      <c r="Z6" s="21">
        <v>0.91176470588235292</v>
      </c>
      <c r="AA6" s="21">
        <v>0.91323529411764703</v>
      </c>
      <c r="AB6" s="21">
        <v>0.91764705882352937</v>
      </c>
      <c r="AC6" s="21">
        <v>0.90294117647058814</v>
      </c>
      <c r="AD6" s="10">
        <f t="shared" si="6"/>
        <v>0.92430187459599211</v>
      </c>
      <c r="AE6" s="13">
        <f t="shared" si="7"/>
        <v>1.7888493962573391E-2</v>
      </c>
    </row>
    <row r="7" spans="1:31">
      <c r="A7" s="3">
        <v>3</v>
      </c>
      <c r="B7" s="3">
        <v>60</v>
      </c>
      <c r="C7" s="14">
        <v>1444</v>
      </c>
      <c r="D7" s="15">
        <v>1447</v>
      </c>
      <c r="E7" s="15">
        <v>1405</v>
      </c>
      <c r="F7" s="16">
        <v>1437</v>
      </c>
      <c r="G7" s="16">
        <v>1427</v>
      </c>
      <c r="H7" s="6">
        <f t="shared" si="0"/>
        <v>1432</v>
      </c>
      <c r="I7" s="7">
        <f t="shared" si="1"/>
        <v>16.941074346097416</v>
      </c>
      <c r="J7" s="8"/>
      <c r="K7" s="17">
        <v>1.0159</v>
      </c>
      <c r="L7" s="8"/>
      <c r="M7" s="10">
        <f t="shared" si="2"/>
        <v>1.0159</v>
      </c>
      <c r="N7" s="7" t="e">
        <f t="shared" si="3"/>
        <v>#DIV/0!</v>
      </c>
      <c r="O7" s="18"/>
      <c r="P7" s="8">
        <v>1.43E-2</v>
      </c>
      <c r="Q7" s="8"/>
      <c r="R7" s="10">
        <f t="shared" si="4"/>
        <v>1.43E-2</v>
      </c>
      <c r="S7" s="19" t="e">
        <f t="shared" si="5"/>
        <v>#DIV/0!</v>
      </c>
      <c r="T7" s="20">
        <v>0.93626373626373616</v>
      </c>
      <c r="U7" s="21">
        <v>0.95604395604395598</v>
      </c>
      <c r="V7" s="21">
        <v>0.93296703296703287</v>
      </c>
      <c r="W7" s="21">
        <v>0.96813186813186813</v>
      </c>
      <c r="X7" s="21">
        <v>0.94065934065934065</v>
      </c>
      <c r="Y7" s="20">
        <v>0.92205882352941171</v>
      </c>
      <c r="Z7" s="21">
        <v>0.92352941176470582</v>
      </c>
      <c r="AA7" s="21">
        <v>0.92352941176470582</v>
      </c>
      <c r="AB7" s="21">
        <v>0.91764705882352937</v>
      </c>
      <c r="AC7" s="21">
        <v>0.9205882352941176</v>
      </c>
      <c r="AD7" s="10">
        <f t="shared" si="6"/>
        <v>0.93414188752424043</v>
      </c>
      <c r="AE7" s="13">
        <f t="shared" si="7"/>
        <v>1.6701329585990056E-2</v>
      </c>
    </row>
    <row r="8" spans="1:31">
      <c r="A8" s="3">
        <v>4</v>
      </c>
      <c r="B8" s="3">
        <v>80</v>
      </c>
      <c r="C8" s="14">
        <v>1398</v>
      </c>
      <c r="D8" s="15">
        <v>1401</v>
      </c>
      <c r="E8" s="15">
        <v>1428</v>
      </c>
      <c r="F8" s="16">
        <v>1408</v>
      </c>
      <c r="G8" s="16">
        <v>1416</v>
      </c>
      <c r="H8" s="6">
        <f t="shared" si="0"/>
        <v>1410</v>
      </c>
      <c r="I8" s="7">
        <f t="shared" si="1"/>
        <v>12.13260071048248</v>
      </c>
      <c r="J8" s="8"/>
      <c r="K8" s="17">
        <v>1.0569999999999999</v>
      </c>
      <c r="L8" s="8"/>
      <c r="M8" s="10">
        <f t="shared" si="2"/>
        <v>1.0569999999999999</v>
      </c>
      <c r="N8" s="7" t="e">
        <f t="shared" si="3"/>
        <v>#DIV/0!</v>
      </c>
      <c r="O8" s="18"/>
      <c r="P8" s="8">
        <v>2.06E-2</v>
      </c>
      <c r="Q8" s="8"/>
      <c r="R8" s="10">
        <f t="shared" si="4"/>
        <v>2.06E-2</v>
      </c>
      <c r="S8" s="19" t="e">
        <f t="shared" si="5"/>
        <v>#DIV/0!</v>
      </c>
      <c r="T8" s="20">
        <v>0.94395604395604393</v>
      </c>
      <c r="U8" s="21">
        <v>0.95274725274725269</v>
      </c>
      <c r="V8" s="21">
        <v>0.95934065934065926</v>
      </c>
      <c r="W8" s="21">
        <v>0.94725274725274722</v>
      </c>
      <c r="X8" s="21">
        <v>0.95604395604395598</v>
      </c>
      <c r="Y8" s="20">
        <v>0.91617647058823526</v>
      </c>
      <c r="Z8" s="21">
        <v>0.92499999999999993</v>
      </c>
      <c r="AA8" s="21">
        <v>0.93529411764705872</v>
      </c>
      <c r="AB8" s="21">
        <v>0.93088235294117638</v>
      </c>
      <c r="AC8" s="21">
        <v>0.93970588235294117</v>
      </c>
      <c r="AD8" s="10">
        <f t="shared" si="6"/>
        <v>0.94063994828700714</v>
      </c>
      <c r="AE8" s="13">
        <f t="shared" si="7"/>
        <v>1.3968389892502313E-2</v>
      </c>
    </row>
    <row r="9" spans="1:31">
      <c r="A9" s="3">
        <v>5</v>
      </c>
      <c r="B9" s="3">
        <v>100</v>
      </c>
      <c r="C9" s="14">
        <v>1409</v>
      </c>
      <c r="D9" s="15">
        <v>1400</v>
      </c>
      <c r="E9" s="15">
        <v>1407</v>
      </c>
      <c r="F9" s="16">
        <v>1401</v>
      </c>
      <c r="G9" s="16">
        <v>1413</v>
      </c>
      <c r="H9" s="6">
        <f t="shared" si="0"/>
        <v>1406</v>
      </c>
      <c r="I9" s="7">
        <f t="shared" si="1"/>
        <v>5.4772255750516612</v>
      </c>
      <c r="J9" s="8"/>
      <c r="K9" s="17">
        <v>1.1209</v>
      </c>
      <c r="L9" s="8"/>
      <c r="M9" s="10">
        <f t="shared" si="2"/>
        <v>1.1209</v>
      </c>
      <c r="N9" s="7" t="e">
        <f t="shared" si="3"/>
        <v>#DIV/0!</v>
      </c>
      <c r="O9" s="18"/>
      <c r="P9" s="8">
        <v>2.12E-2</v>
      </c>
      <c r="Q9" s="8"/>
      <c r="R9" s="10">
        <f t="shared" si="4"/>
        <v>2.12E-2</v>
      </c>
      <c r="S9" s="19" t="e">
        <f t="shared" si="5"/>
        <v>#DIV/0!</v>
      </c>
      <c r="T9" s="20">
        <v>0.94725274725274722</v>
      </c>
      <c r="U9" s="21">
        <v>0.95934065934065926</v>
      </c>
      <c r="V9" s="21">
        <v>0.96813186813186813</v>
      </c>
      <c r="W9" s="21">
        <v>0.96923076923076923</v>
      </c>
      <c r="X9" s="21">
        <v>0.96043956043956036</v>
      </c>
      <c r="Y9" s="20">
        <v>0.92647058823529405</v>
      </c>
      <c r="Z9" s="21">
        <v>0.92794117647058816</v>
      </c>
      <c r="AA9" s="21">
        <v>0.93088235294117638</v>
      </c>
      <c r="AB9" s="21">
        <v>0.94117647058823528</v>
      </c>
      <c r="AC9" s="21">
        <v>0.93676470588235294</v>
      </c>
      <c r="AD9" s="10">
        <f t="shared" si="6"/>
        <v>0.94676308985132507</v>
      </c>
      <c r="AE9" s="13">
        <f t="shared" si="7"/>
        <v>1.6520452021730993E-2</v>
      </c>
    </row>
    <row r="10" spans="1:31">
      <c r="A10" s="3">
        <v>6</v>
      </c>
      <c r="B10" s="3">
        <v>120</v>
      </c>
      <c r="C10" s="14">
        <v>1375</v>
      </c>
      <c r="D10" s="15">
        <v>1394</v>
      </c>
      <c r="E10" s="15">
        <v>1363</v>
      </c>
      <c r="F10" s="16">
        <v>1389</v>
      </c>
      <c r="G10" s="16">
        <v>1383</v>
      </c>
      <c r="H10" s="6">
        <f t="shared" si="0"/>
        <v>1380</v>
      </c>
      <c r="I10" s="7">
        <f t="shared" si="1"/>
        <v>12.214745187681975</v>
      </c>
      <c r="J10" s="8"/>
      <c r="K10" s="17">
        <v>1.0381</v>
      </c>
      <c r="L10" s="8"/>
      <c r="M10" s="10">
        <f t="shared" si="2"/>
        <v>1.0381</v>
      </c>
      <c r="N10" s="7" t="e">
        <f t="shared" si="3"/>
        <v>#DIV/0!</v>
      </c>
      <c r="O10" s="18"/>
      <c r="P10" s="8">
        <v>2.86E-2</v>
      </c>
      <c r="Q10" s="8"/>
      <c r="R10" s="10">
        <f t="shared" si="4"/>
        <v>2.86E-2</v>
      </c>
      <c r="S10" s="19" t="e">
        <f t="shared" si="5"/>
        <v>#DIV/0!</v>
      </c>
      <c r="T10" s="20">
        <v>0.97032967032967032</v>
      </c>
      <c r="U10" s="21">
        <v>0.95714285714285707</v>
      </c>
      <c r="V10" s="21">
        <v>0.97802197802197799</v>
      </c>
      <c r="W10" s="21">
        <v>0.97362637362637361</v>
      </c>
      <c r="X10" s="21">
        <v>0.96043956043956036</v>
      </c>
      <c r="Y10" s="20">
        <v>0.94852941176470584</v>
      </c>
      <c r="Z10" s="21">
        <v>0.94558823529411762</v>
      </c>
      <c r="AA10" s="21">
        <v>0.95147058823529407</v>
      </c>
      <c r="AB10" s="21">
        <v>0.94852941176470595</v>
      </c>
      <c r="AC10" s="21">
        <v>0.95147058823529407</v>
      </c>
      <c r="AD10" s="10">
        <f t="shared" si="6"/>
        <v>0.95851486748545567</v>
      </c>
      <c r="AE10" s="13">
        <f t="shared" si="7"/>
        <v>1.1641981565520642E-2</v>
      </c>
    </row>
    <row r="11" spans="1:31">
      <c r="A11" s="3">
        <v>7</v>
      </c>
      <c r="B11" s="3">
        <v>140</v>
      </c>
      <c r="C11" s="14">
        <v>1357</v>
      </c>
      <c r="D11" s="15">
        <v>1353</v>
      </c>
      <c r="E11" s="15">
        <v>1333</v>
      </c>
      <c r="F11" s="16">
        <v>1353</v>
      </c>
      <c r="G11" s="16">
        <v>1343</v>
      </c>
      <c r="H11" s="6">
        <f t="shared" si="0"/>
        <v>1347</v>
      </c>
      <c r="I11" s="7">
        <f t="shared" si="1"/>
        <v>9.7570487341203744</v>
      </c>
      <c r="J11" s="8"/>
      <c r="K11" s="17">
        <v>1.0029999999999999</v>
      </c>
      <c r="L11" s="8"/>
      <c r="M11" s="10">
        <f t="shared" si="2"/>
        <v>1.0029999999999999</v>
      </c>
      <c r="N11" s="7" t="e">
        <f t="shared" si="3"/>
        <v>#DIV/0!</v>
      </c>
      <c r="O11" s="18"/>
      <c r="P11" s="8">
        <v>4.0099999999999997E-2</v>
      </c>
      <c r="Q11" s="8"/>
      <c r="R11" s="10">
        <f t="shared" si="4"/>
        <v>4.0099999999999997E-2</v>
      </c>
      <c r="S11" s="19" t="e">
        <f t="shared" si="5"/>
        <v>#DIV/0!</v>
      </c>
      <c r="T11" s="20">
        <v>0.98021978021978018</v>
      </c>
      <c r="U11" s="21">
        <v>0.96923076923076923</v>
      </c>
      <c r="V11" s="21">
        <v>0.96813186813186813</v>
      </c>
      <c r="W11" s="21">
        <v>0.96923076923076923</v>
      </c>
      <c r="X11" s="21">
        <v>0.96703296703296704</v>
      </c>
      <c r="Y11" s="20">
        <v>0.93970588235294117</v>
      </c>
      <c r="Z11" s="21">
        <v>0.95147058823529407</v>
      </c>
      <c r="AA11" s="21">
        <v>0.95882352941176463</v>
      </c>
      <c r="AB11" s="21">
        <v>0.96029411764705874</v>
      </c>
      <c r="AC11" s="21">
        <v>0.95</v>
      </c>
      <c r="AD11" s="10">
        <f t="shared" si="6"/>
        <v>0.96141402714932112</v>
      </c>
      <c r="AE11" s="13">
        <f t="shared" si="7"/>
        <v>1.1836485751411127E-2</v>
      </c>
    </row>
    <row r="12" spans="1:31">
      <c r="A12" s="3">
        <v>8</v>
      </c>
      <c r="B12" s="3">
        <v>160</v>
      </c>
      <c r="C12" s="14">
        <v>1353</v>
      </c>
      <c r="D12" s="15">
        <v>1332</v>
      </c>
      <c r="E12" s="15">
        <v>1263</v>
      </c>
      <c r="F12" s="16">
        <v>1342</v>
      </c>
      <c r="G12" s="16">
        <v>1330</v>
      </c>
      <c r="H12" s="6">
        <f t="shared" si="0"/>
        <v>1324</v>
      </c>
      <c r="I12" s="7">
        <f t="shared" si="1"/>
        <v>35.305806887819458</v>
      </c>
      <c r="J12" s="8"/>
      <c r="K12" s="17">
        <v>1.0126999999999999</v>
      </c>
      <c r="L12" s="8"/>
      <c r="M12" s="10">
        <f t="shared" si="2"/>
        <v>1.0126999999999999</v>
      </c>
      <c r="N12" s="7" t="e">
        <f t="shared" si="3"/>
        <v>#DIV/0!</v>
      </c>
      <c r="O12" s="18"/>
      <c r="P12" s="8">
        <v>4.5400000000000003E-2</v>
      </c>
      <c r="Q12" s="8"/>
      <c r="R12" s="10">
        <f t="shared" si="4"/>
        <v>4.5400000000000003E-2</v>
      </c>
      <c r="S12" s="19" t="e">
        <f t="shared" si="5"/>
        <v>#DIV/0!</v>
      </c>
      <c r="T12" s="20">
        <v>0.97252747252747251</v>
      </c>
      <c r="U12" s="21">
        <v>0.96923076923076923</v>
      </c>
      <c r="V12" s="21">
        <v>0.97252747252747251</v>
      </c>
      <c r="W12" s="21">
        <v>0.97802197802197799</v>
      </c>
      <c r="X12" s="21">
        <v>0.98131868131868127</v>
      </c>
      <c r="Y12" s="20">
        <v>0.95441176470588229</v>
      </c>
      <c r="Z12" s="21">
        <v>0.95588235294117641</v>
      </c>
      <c r="AA12" s="21">
        <v>0.96911764705882353</v>
      </c>
      <c r="AB12" s="21">
        <v>0.95882352941176463</v>
      </c>
      <c r="AC12" s="21">
        <v>0.95735294117647052</v>
      </c>
      <c r="AD12" s="10">
        <f t="shared" si="6"/>
        <v>0.96692146089204889</v>
      </c>
      <c r="AE12" s="13">
        <f t="shared" si="7"/>
        <v>9.6551642772623892E-3</v>
      </c>
    </row>
    <row r="13" spans="1:31">
      <c r="A13" s="3">
        <v>9</v>
      </c>
      <c r="B13" s="3">
        <v>180</v>
      </c>
      <c r="C13" s="14">
        <v>1295</v>
      </c>
      <c r="D13" s="15">
        <v>1301</v>
      </c>
      <c r="E13" s="15">
        <v>1287</v>
      </c>
      <c r="F13" s="16">
        <v>1299</v>
      </c>
      <c r="G13" s="16">
        <v>1324</v>
      </c>
      <c r="H13" s="6">
        <f t="shared" si="0"/>
        <v>1301</v>
      </c>
      <c r="I13" s="7">
        <f t="shared" si="1"/>
        <v>13.827508813954884</v>
      </c>
      <c r="J13" s="8"/>
      <c r="K13" s="17">
        <v>0.94130000000000003</v>
      </c>
      <c r="L13" s="8"/>
      <c r="M13" s="10">
        <f t="shared" si="2"/>
        <v>0.94130000000000003</v>
      </c>
      <c r="N13" s="7" t="e">
        <f t="shared" si="3"/>
        <v>#DIV/0!</v>
      </c>
      <c r="O13" s="18"/>
      <c r="P13" s="8">
        <v>5.0799999999999998E-2</v>
      </c>
      <c r="Q13" s="8"/>
      <c r="R13" s="10">
        <f t="shared" si="4"/>
        <v>5.0799999999999998E-2</v>
      </c>
      <c r="S13" s="19" t="e">
        <f t="shared" si="5"/>
        <v>#DIV/0!</v>
      </c>
      <c r="T13" s="20">
        <v>0.97802197802197799</v>
      </c>
      <c r="U13" s="21">
        <v>0.98131868131868127</v>
      </c>
      <c r="V13" s="21">
        <v>0.99230769230769234</v>
      </c>
      <c r="W13" s="21">
        <v>0.99340659340659343</v>
      </c>
      <c r="X13" s="21">
        <v>0.97252747252747251</v>
      </c>
      <c r="Y13" s="20">
        <v>0.95294117647058818</v>
      </c>
      <c r="Z13" s="21">
        <v>0.96176470588235285</v>
      </c>
      <c r="AA13" s="21">
        <v>0.9779411764705882</v>
      </c>
      <c r="AB13" s="21">
        <v>0.95735294117647052</v>
      </c>
      <c r="AC13" s="21">
        <v>0.97058823529411764</v>
      </c>
      <c r="AD13" s="10">
        <f t="shared" si="6"/>
        <v>0.97381706528765355</v>
      </c>
      <c r="AE13" s="13">
        <f t="shared" si="7"/>
        <v>1.3665994305599531E-2</v>
      </c>
    </row>
    <row r="14" spans="1:31">
      <c r="A14" s="3" t="s">
        <v>9</v>
      </c>
      <c r="B14" s="3">
        <v>200</v>
      </c>
      <c r="C14" s="14">
        <v>1283</v>
      </c>
      <c r="D14" s="15">
        <v>1302</v>
      </c>
      <c r="E14" s="15">
        <v>1287</v>
      </c>
      <c r="F14" s="16">
        <v>1294</v>
      </c>
      <c r="G14" s="16">
        <v>1285</v>
      </c>
      <c r="H14" s="6">
        <f t="shared" si="0"/>
        <v>1290</v>
      </c>
      <c r="I14" s="7">
        <f t="shared" si="1"/>
        <v>7.7910204723129821</v>
      </c>
      <c r="J14" s="8"/>
      <c r="K14" s="17">
        <v>0.99639999999999995</v>
      </c>
      <c r="L14" s="8"/>
      <c r="M14" s="10">
        <f t="shared" si="2"/>
        <v>0.99639999999999995</v>
      </c>
      <c r="N14" s="7" t="e">
        <f t="shared" si="3"/>
        <v>#DIV/0!</v>
      </c>
      <c r="O14" s="18"/>
      <c r="P14" s="8">
        <v>5.33E-2</v>
      </c>
      <c r="Q14" s="8"/>
      <c r="R14" s="10">
        <f t="shared" si="4"/>
        <v>5.33E-2</v>
      </c>
      <c r="S14" s="19" t="e">
        <f t="shared" si="5"/>
        <v>#DIV/0!</v>
      </c>
      <c r="T14" s="20">
        <v>1.0087912087912088</v>
      </c>
      <c r="U14" s="21">
        <v>1.0175824175824175</v>
      </c>
      <c r="V14" s="21">
        <v>1.0219780219780219</v>
      </c>
      <c r="W14" s="21">
        <v>1.0098901098901099</v>
      </c>
      <c r="X14" s="21">
        <v>1.0285714285714287</v>
      </c>
      <c r="Y14" s="20">
        <v>0.97352941176470587</v>
      </c>
      <c r="Z14" s="21">
        <v>0.97352941176470587</v>
      </c>
      <c r="AA14" s="21">
        <v>0.97647058823529409</v>
      </c>
      <c r="AB14" s="21">
        <v>0.98088235294117643</v>
      </c>
      <c r="AC14" s="21">
        <v>0.96911764705882353</v>
      </c>
      <c r="AD14" s="10">
        <f t="shared" si="6"/>
        <v>0.99603425985778915</v>
      </c>
      <c r="AE14" s="13">
        <f t="shared" si="7"/>
        <v>2.3334646436628255E-2</v>
      </c>
    </row>
    <row r="16" spans="1:31">
      <c r="A16" s="16"/>
      <c r="F16" s="16"/>
      <c r="G16" s="16"/>
    </row>
    <row r="17" spans="1:7">
      <c r="A17" s="16"/>
      <c r="F17" s="16"/>
      <c r="G17" s="16"/>
    </row>
    <row r="18" spans="1:7">
      <c r="A18" s="16"/>
      <c r="F18" s="16"/>
      <c r="G18" s="16"/>
    </row>
    <row r="19" spans="1:7">
      <c r="A19" s="16"/>
      <c r="F19" s="16"/>
      <c r="G19" s="16"/>
    </row>
    <row r="20" spans="1:7">
      <c r="A20" s="16"/>
      <c r="F20" s="16"/>
      <c r="G20" s="16"/>
    </row>
    <row r="21" spans="1:7" ht="15.75" customHeight="1">
      <c r="A21" s="16"/>
      <c r="F21" s="16"/>
      <c r="G21" s="16"/>
    </row>
    <row r="22" spans="1:7" ht="15.75" customHeight="1">
      <c r="A22" s="16"/>
      <c r="F22" s="16"/>
      <c r="G22" s="16"/>
    </row>
    <row r="23" spans="1:7" ht="15.75" customHeight="1">
      <c r="A23" s="16"/>
      <c r="F23" s="16"/>
      <c r="G23" s="16"/>
    </row>
    <row r="24" spans="1:7" ht="15.75" customHeight="1">
      <c r="A24" s="16"/>
      <c r="F24" s="16"/>
      <c r="G24" s="16"/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D2:AD3"/>
    <mergeCell ref="AE2:AE3"/>
    <mergeCell ref="A2:A3"/>
    <mergeCell ref="B2:B3"/>
    <mergeCell ref="C2:G2"/>
    <mergeCell ref="H2:H3"/>
    <mergeCell ref="I2:I3"/>
    <mergeCell ref="M2:M3"/>
    <mergeCell ref="N2:N3"/>
    <mergeCell ref="J2:L2"/>
    <mergeCell ref="O2:Q2"/>
    <mergeCell ref="T2:X2"/>
    <mergeCell ref="Y2:AC2"/>
    <mergeCell ref="R2:R3"/>
    <mergeCell ref="S2:S3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1000"/>
  <sheetViews>
    <sheetView workbookViewId="0">
      <pane xSplit="1" topLeftCell="B1" activePane="topRight" state="frozen"/>
      <selection pane="topRight" activeCell="C2" sqref="C2:G2"/>
    </sheetView>
  </sheetViews>
  <sheetFormatPr baseColWidth="10" defaultColWidth="12.5703125" defaultRowHeight="15" customHeight="1"/>
  <cols>
    <col min="1" max="8" width="10.5703125" customWidth="1"/>
    <col min="9" max="9" width="11.7109375" customWidth="1"/>
    <col min="10" max="27" width="10.5703125" customWidth="1"/>
  </cols>
  <sheetData>
    <row r="2" spans="1:27">
      <c r="A2" s="148" t="s">
        <v>0</v>
      </c>
      <c r="B2" s="148" t="s">
        <v>1</v>
      </c>
      <c r="C2" s="143" t="s">
        <v>2</v>
      </c>
      <c r="D2" s="141"/>
      <c r="E2" s="141"/>
      <c r="F2" s="141"/>
      <c r="G2" s="142"/>
      <c r="H2" s="144" t="s">
        <v>3</v>
      </c>
      <c r="I2" s="146" t="s">
        <v>4</v>
      </c>
      <c r="J2" s="140" t="s">
        <v>5</v>
      </c>
      <c r="K2" s="141"/>
      <c r="L2" s="142"/>
      <c r="M2" s="144" t="s">
        <v>3</v>
      </c>
      <c r="N2" s="146" t="s">
        <v>4</v>
      </c>
      <c r="O2" s="143" t="s">
        <v>6</v>
      </c>
      <c r="P2" s="141"/>
      <c r="Q2" s="142"/>
      <c r="R2" s="144" t="s">
        <v>3</v>
      </c>
      <c r="S2" s="146" t="s">
        <v>4</v>
      </c>
      <c r="T2" s="143" t="s">
        <v>7</v>
      </c>
      <c r="U2" s="141"/>
      <c r="V2" s="142"/>
      <c r="W2" s="143" t="s">
        <v>8</v>
      </c>
      <c r="X2" s="141"/>
      <c r="Y2" s="142"/>
      <c r="Z2" s="144" t="s">
        <v>3</v>
      </c>
      <c r="AA2" s="146" t="s">
        <v>4</v>
      </c>
    </row>
    <row r="3" spans="1:27">
      <c r="A3" s="149"/>
      <c r="B3" s="149"/>
      <c r="C3" s="1">
        <v>1</v>
      </c>
      <c r="D3" s="2">
        <v>2</v>
      </c>
      <c r="E3" s="2">
        <v>3</v>
      </c>
      <c r="F3" s="2">
        <v>4</v>
      </c>
      <c r="G3" s="2">
        <v>5</v>
      </c>
      <c r="H3" s="145"/>
      <c r="I3" s="147"/>
      <c r="J3" s="2">
        <v>1</v>
      </c>
      <c r="K3" s="2">
        <v>2</v>
      </c>
      <c r="L3" s="2">
        <v>3</v>
      </c>
      <c r="M3" s="145"/>
      <c r="N3" s="147"/>
      <c r="O3" s="1">
        <v>1</v>
      </c>
      <c r="P3" s="2">
        <v>2</v>
      </c>
      <c r="Q3" s="2">
        <v>3</v>
      </c>
      <c r="R3" s="145"/>
      <c r="S3" s="147"/>
      <c r="T3" s="1">
        <v>1</v>
      </c>
      <c r="U3" s="2">
        <v>2</v>
      </c>
      <c r="V3" s="2">
        <v>3</v>
      </c>
      <c r="W3" s="1">
        <v>1</v>
      </c>
      <c r="X3" s="2">
        <v>2</v>
      </c>
      <c r="Y3" s="2">
        <v>3</v>
      </c>
      <c r="Z3" s="145"/>
      <c r="AA3" s="147"/>
    </row>
    <row r="4" spans="1:27">
      <c r="A4" s="3">
        <v>0</v>
      </c>
      <c r="B4" s="3">
        <v>0</v>
      </c>
      <c r="C4" s="4">
        <v>1531</v>
      </c>
      <c r="D4" s="5">
        <v>1530</v>
      </c>
      <c r="E4" s="5">
        <v>1548</v>
      </c>
      <c r="F4" s="5">
        <v>1558</v>
      </c>
      <c r="G4" s="5">
        <v>1520</v>
      </c>
      <c r="H4" s="6">
        <f t="shared" ref="H4:H14" si="0">ROUNDDOWN(AVERAGE(C4:G4),0)</f>
        <v>1537</v>
      </c>
      <c r="I4" s="7">
        <f t="shared" ref="I4:I14" si="1">_xlfn.STDEV.S(C4:G4)</f>
        <v>15.290519938837921</v>
      </c>
      <c r="J4" s="8"/>
      <c r="K4" s="9">
        <v>0.96509999999999996</v>
      </c>
      <c r="L4" s="8"/>
      <c r="M4" s="10">
        <f t="shared" ref="M4:M14" si="2">AVERAGE(J4:L4)</f>
        <v>0.96509999999999996</v>
      </c>
      <c r="N4" s="7" t="e">
        <f t="shared" ref="N4:N14" si="3">_xlfn.STDEV.S(J4:L4)</f>
        <v>#DIV/0!</v>
      </c>
      <c r="O4" s="8">
        <v>0</v>
      </c>
      <c r="P4" s="8">
        <v>0</v>
      </c>
      <c r="Q4" s="8">
        <v>0</v>
      </c>
      <c r="R4" s="10">
        <f t="shared" ref="R4:R14" si="4">AVERAGE(O4:Q4)</f>
        <v>0</v>
      </c>
      <c r="S4" s="7">
        <f t="shared" ref="S4:S14" si="5">_xlfn.STDEV.S(O4:Q4)</f>
        <v>0</v>
      </c>
      <c r="T4" s="8">
        <v>0.92200000000000004</v>
      </c>
      <c r="U4" s="8">
        <v>0.92200000000000004</v>
      </c>
      <c r="V4" s="8">
        <v>0.91869999999999996</v>
      </c>
      <c r="W4" s="11">
        <v>0.86760000000000004</v>
      </c>
      <c r="X4" s="12">
        <v>0.87790000000000001</v>
      </c>
      <c r="Y4" s="12">
        <v>0.87209999999999999</v>
      </c>
      <c r="Z4" s="10">
        <f t="shared" ref="Z4:Z14" si="6">AVERAGE(T4:Y4)</f>
        <v>0.89671666666666672</v>
      </c>
      <c r="AA4" s="13">
        <f t="shared" ref="AA4:AA14" si="7">_xlfn.STDEV.S(T4:Y4)</f>
        <v>2.6719237763579009E-2</v>
      </c>
    </row>
    <row r="5" spans="1:27">
      <c r="A5" s="3">
        <v>1</v>
      </c>
      <c r="B5" s="3">
        <v>20</v>
      </c>
      <c r="C5" s="14"/>
      <c r="F5" s="16"/>
      <c r="G5" s="16"/>
      <c r="H5" s="6" t="e">
        <f t="shared" si="0"/>
        <v>#DIV/0!</v>
      </c>
      <c r="I5" s="7" t="e">
        <f t="shared" si="1"/>
        <v>#DIV/0!</v>
      </c>
      <c r="J5" s="8"/>
      <c r="K5" s="8">
        <v>1.0698000000000001</v>
      </c>
      <c r="L5" s="8"/>
      <c r="M5" s="10">
        <f t="shared" si="2"/>
        <v>1.0698000000000001</v>
      </c>
      <c r="N5" s="7" t="e">
        <f t="shared" si="3"/>
        <v>#DIV/0!</v>
      </c>
      <c r="O5" s="18"/>
      <c r="P5" s="8">
        <v>6.3E-3</v>
      </c>
      <c r="Q5" s="8"/>
      <c r="R5" s="10">
        <f t="shared" si="4"/>
        <v>6.3E-3</v>
      </c>
      <c r="S5" s="19" t="e">
        <f t="shared" si="5"/>
        <v>#DIV/0!</v>
      </c>
      <c r="T5" s="20">
        <v>0.91869999999999996</v>
      </c>
      <c r="U5" s="21">
        <v>0.92530000000000001</v>
      </c>
      <c r="V5" s="21">
        <v>0.9264</v>
      </c>
      <c r="W5" s="20">
        <v>0.88380000000000003</v>
      </c>
      <c r="X5" s="21">
        <v>0.88239999999999996</v>
      </c>
      <c r="Y5" s="21">
        <v>0.86760000000000004</v>
      </c>
      <c r="Z5" s="10">
        <f t="shared" si="6"/>
        <v>0.90070000000000006</v>
      </c>
      <c r="AA5" s="13">
        <f t="shared" si="7"/>
        <v>2.5712876151842666E-2</v>
      </c>
    </row>
    <row r="6" spans="1:27">
      <c r="A6" s="3">
        <v>2</v>
      </c>
      <c r="B6" s="3">
        <v>40</v>
      </c>
      <c r="C6" s="14"/>
      <c r="F6" s="16"/>
      <c r="G6" s="16"/>
      <c r="H6" s="6" t="e">
        <f t="shared" si="0"/>
        <v>#DIV/0!</v>
      </c>
      <c r="I6" s="7" t="e">
        <f t="shared" si="1"/>
        <v>#DIV/0!</v>
      </c>
      <c r="J6" s="8"/>
      <c r="K6" s="8">
        <v>1.0603</v>
      </c>
      <c r="L6" s="8"/>
      <c r="M6" s="10">
        <f t="shared" si="2"/>
        <v>1.0603</v>
      </c>
      <c r="N6" s="7" t="e">
        <f t="shared" si="3"/>
        <v>#DIV/0!</v>
      </c>
      <c r="O6" s="18"/>
      <c r="P6" s="8">
        <v>1.24E-2</v>
      </c>
      <c r="Q6" s="8"/>
      <c r="R6" s="10">
        <f t="shared" si="4"/>
        <v>1.24E-2</v>
      </c>
      <c r="S6" s="19" t="e">
        <f t="shared" si="5"/>
        <v>#DIV/0!</v>
      </c>
      <c r="T6" s="20">
        <v>0.93300000000000005</v>
      </c>
      <c r="U6" s="21">
        <v>0.93740000000000001</v>
      </c>
      <c r="V6" s="21">
        <v>0.93959999999999999</v>
      </c>
      <c r="W6" s="20">
        <v>0.90739999999999998</v>
      </c>
      <c r="X6" s="21">
        <v>0.89849999999999997</v>
      </c>
      <c r="Y6" s="21">
        <v>0.90590000000000004</v>
      </c>
      <c r="Z6" s="10">
        <f t="shared" si="6"/>
        <v>0.92030000000000001</v>
      </c>
      <c r="AA6" s="13">
        <f t="shared" si="7"/>
        <v>1.830409790183609E-2</v>
      </c>
    </row>
    <row r="7" spans="1:27">
      <c r="A7" s="3">
        <v>3</v>
      </c>
      <c r="B7" s="3">
        <v>60</v>
      </c>
      <c r="C7" s="14"/>
      <c r="F7" s="16"/>
      <c r="G7" s="16"/>
      <c r="H7" s="6" t="e">
        <f t="shared" si="0"/>
        <v>#DIV/0!</v>
      </c>
      <c r="I7" s="7" t="e">
        <f t="shared" si="1"/>
        <v>#DIV/0!</v>
      </c>
      <c r="J7" s="8"/>
      <c r="K7" s="8">
        <v>1.0841000000000001</v>
      </c>
      <c r="L7" s="8"/>
      <c r="M7" s="10">
        <f t="shared" si="2"/>
        <v>1.0841000000000001</v>
      </c>
      <c r="N7" s="7" t="e">
        <f t="shared" si="3"/>
        <v>#DIV/0!</v>
      </c>
      <c r="O7" s="18"/>
      <c r="P7" s="8">
        <v>2.2200000000000001E-2</v>
      </c>
      <c r="Q7" s="8"/>
      <c r="R7" s="10">
        <f t="shared" si="4"/>
        <v>2.2200000000000001E-2</v>
      </c>
      <c r="S7" s="19" t="e">
        <f t="shared" si="5"/>
        <v>#DIV/0!</v>
      </c>
      <c r="T7" s="20">
        <v>0.94399999999999995</v>
      </c>
      <c r="U7" s="21">
        <v>0.94840000000000002</v>
      </c>
      <c r="V7" s="21">
        <v>0.9516</v>
      </c>
      <c r="W7" s="20">
        <v>0.90590000000000004</v>
      </c>
      <c r="X7" s="21">
        <v>0.90880000000000005</v>
      </c>
      <c r="Y7" s="21">
        <v>0.91320000000000001</v>
      </c>
      <c r="Z7" s="10">
        <f t="shared" si="6"/>
        <v>0.92864999999999986</v>
      </c>
      <c r="AA7" s="13">
        <f t="shared" si="7"/>
        <v>2.1460079217001951E-2</v>
      </c>
    </row>
    <row r="8" spans="1:27">
      <c r="A8" s="3">
        <v>4</v>
      </c>
      <c r="B8" s="3">
        <v>80</v>
      </c>
      <c r="C8" s="14"/>
      <c r="F8" s="16"/>
      <c r="G8" s="16"/>
      <c r="H8" s="6" t="e">
        <f t="shared" si="0"/>
        <v>#DIV/0!</v>
      </c>
      <c r="I8" s="7" t="e">
        <f t="shared" si="1"/>
        <v>#DIV/0!</v>
      </c>
      <c r="J8" s="8"/>
      <c r="K8" s="8">
        <v>1.0857000000000001</v>
      </c>
      <c r="L8" s="8"/>
      <c r="M8" s="10">
        <f t="shared" si="2"/>
        <v>1.0857000000000001</v>
      </c>
      <c r="N8" s="7" t="e">
        <f t="shared" si="3"/>
        <v>#DIV/0!</v>
      </c>
      <c r="O8" s="18"/>
      <c r="P8" s="8">
        <v>3.6499999999999998E-2</v>
      </c>
      <c r="Q8" s="8">
        <v>3.1699999999999999E-2</v>
      </c>
      <c r="R8" s="10">
        <f t="shared" si="4"/>
        <v>3.4099999999999998E-2</v>
      </c>
      <c r="S8" s="22">
        <f t="shared" si="5"/>
        <v>3.3941125496954271E-3</v>
      </c>
      <c r="T8" s="20">
        <v>0.95820000000000005</v>
      </c>
      <c r="U8" s="21">
        <v>0.96150000000000002</v>
      </c>
      <c r="V8" s="21">
        <v>0.95930000000000004</v>
      </c>
      <c r="W8" s="20">
        <v>0.92210000000000003</v>
      </c>
      <c r="X8" s="21">
        <v>0.92649999999999999</v>
      </c>
      <c r="Y8" s="21">
        <v>0.91620000000000001</v>
      </c>
      <c r="Z8" s="10">
        <f t="shared" si="6"/>
        <v>0.94063333333333343</v>
      </c>
      <c r="AA8" s="13">
        <f t="shared" si="7"/>
        <v>2.1131366890635994E-2</v>
      </c>
    </row>
    <row r="9" spans="1:27">
      <c r="A9" s="3">
        <v>5</v>
      </c>
      <c r="B9" s="3">
        <v>100</v>
      </c>
      <c r="C9" s="14"/>
      <c r="F9" s="16"/>
      <c r="G9" s="16"/>
      <c r="H9" s="6" t="e">
        <f t="shared" si="0"/>
        <v>#DIV/0!</v>
      </c>
      <c r="I9" s="7" t="e">
        <f t="shared" si="1"/>
        <v>#DIV/0!</v>
      </c>
      <c r="J9" s="8"/>
      <c r="K9" s="8">
        <v>1.1571</v>
      </c>
      <c r="L9" s="8"/>
      <c r="M9" s="10">
        <f t="shared" si="2"/>
        <v>1.1571</v>
      </c>
      <c r="N9" s="7" t="e">
        <f t="shared" si="3"/>
        <v>#DIV/0!</v>
      </c>
      <c r="O9" s="18"/>
      <c r="P9" s="8">
        <v>4.1300000000000003E-2</v>
      </c>
      <c r="Q9" s="8"/>
      <c r="R9" s="10">
        <f t="shared" si="4"/>
        <v>4.1300000000000003E-2</v>
      </c>
      <c r="S9" s="19" t="e">
        <f t="shared" si="5"/>
        <v>#DIV/0!</v>
      </c>
      <c r="T9" s="20">
        <v>0.96150000000000002</v>
      </c>
      <c r="U9" s="21">
        <v>0.96699999999999997</v>
      </c>
      <c r="V9" s="21">
        <v>0.96479999999999999</v>
      </c>
      <c r="W9" s="20">
        <v>0.92210000000000003</v>
      </c>
      <c r="X9" s="21">
        <v>0.92789999999999995</v>
      </c>
      <c r="Y9" s="21">
        <v>0.93679999999999997</v>
      </c>
      <c r="Z9" s="10">
        <f t="shared" si="6"/>
        <v>0.94668333333333321</v>
      </c>
      <c r="AA9" s="13">
        <f t="shared" si="7"/>
        <v>2.0076594996828189E-2</v>
      </c>
    </row>
    <row r="10" spans="1:27">
      <c r="A10" s="3">
        <v>6</v>
      </c>
      <c r="B10" s="3">
        <v>120</v>
      </c>
      <c r="C10" s="14"/>
      <c r="F10" s="16"/>
      <c r="G10" s="16"/>
      <c r="H10" s="6" t="e">
        <f t="shared" si="0"/>
        <v>#DIV/0!</v>
      </c>
      <c r="I10" s="7" t="e">
        <f t="shared" si="1"/>
        <v>#DIV/0!</v>
      </c>
      <c r="J10" s="8"/>
      <c r="K10" s="8">
        <v>1.1333</v>
      </c>
      <c r="L10" s="8"/>
      <c r="M10" s="10">
        <f t="shared" si="2"/>
        <v>1.1333</v>
      </c>
      <c r="N10" s="7" t="e">
        <f t="shared" si="3"/>
        <v>#DIV/0!</v>
      </c>
      <c r="O10" s="18"/>
      <c r="P10" s="8">
        <v>4.8300000000000003E-2</v>
      </c>
      <c r="Q10" s="8"/>
      <c r="R10" s="10">
        <f t="shared" si="4"/>
        <v>4.8300000000000003E-2</v>
      </c>
      <c r="S10" s="19" t="e">
        <f t="shared" si="5"/>
        <v>#DIV/0!</v>
      </c>
      <c r="T10" s="20">
        <v>0.96589999999999998</v>
      </c>
      <c r="U10" s="21">
        <v>0.98129999999999995</v>
      </c>
      <c r="V10" s="21">
        <v>0.97799999999999998</v>
      </c>
      <c r="W10" s="20">
        <v>0.93379999999999996</v>
      </c>
      <c r="X10" s="21">
        <v>0.94410000000000005</v>
      </c>
      <c r="Y10" s="21">
        <v>0.94850000000000001</v>
      </c>
      <c r="Z10" s="10">
        <f t="shared" si="6"/>
        <v>0.95860000000000001</v>
      </c>
      <c r="AA10" s="13">
        <f t="shared" si="7"/>
        <v>1.9350658903510221E-2</v>
      </c>
    </row>
    <row r="11" spans="1:27">
      <c r="A11" s="3">
        <v>7</v>
      </c>
      <c r="B11" s="3">
        <v>140</v>
      </c>
      <c r="C11" s="14"/>
      <c r="F11" s="16"/>
      <c r="G11" s="16"/>
      <c r="H11" s="6" t="e">
        <f t="shared" si="0"/>
        <v>#DIV/0!</v>
      </c>
      <c r="I11" s="7" t="e">
        <f t="shared" si="1"/>
        <v>#DIV/0!</v>
      </c>
      <c r="J11" s="8"/>
      <c r="K11" s="8">
        <v>1.1111</v>
      </c>
      <c r="L11" s="8"/>
      <c r="M11" s="10">
        <f t="shared" si="2"/>
        <v>1.1111</v>
      </c>
      <c r="N11" s="7" t="e">
        <f t="shared" si="3"/>
        <v>#DIV/0!</v>
      </c>
      <c r="O11" s="18"/>
      <c r="P11" s="8">
        <v>5.28E-2</v>
      </c>
      <c r="Q11" s="8"/>
      <c r="R11" s="10">
        <f t="shared" si="4"/>
        <v>5.28E-2</v>
      </c>
      <c r="S11" s="19" t="e">
        <f t="shared" si="5"/>
        <v>#DIV/0!</v>
      </c>
      <c r="T11" s="20">
        <v>0.97360000000000002</v>
      </c>
      <c r="U11" s="21">
        <v>0.98899999999999999</v>
      </c>
      <c r="V11" s="21">
        <v>0.97909999999999997</v>
      </c>
      <c r="W11" s="20">
        <v>0.9456</v>
      </c>
      <c r="X11" s="21">
        <v>0.94410000000000005</v>
      </c>
      <c r="Y11" s="21">
        <v>0.9456</v>
      </c>
      <c r="Z11" s="10">
        <f t="shared" si="6"/>
        <v>0.96283333333333321</v>
      </c>
      <c r="AA11" s="13">
        <f t="shared" si="7"/>
        <v>2.0050602650959551E-2</v>
      </c>
    </row>
    <row r="12" spans="1:27">
      <c r="A12" s="3">
        <v>8</v>
      </c>
      <c r="B12" s="3">
        <v>160</v>
      </c>
      <c r="C12" s="14"/>
      <c r="F12" s="16"/>
      <c r="G12" s="16"/>
      <c r="H12" s="6" t="e">
        <f t="shared" si="0"/>
        <v>#DIV/0!</v>
      </c>
      <c r="I12" s="7" t="e">
        <f t="shared" si="1"/>
        <v>#DIV/0!</v>
      </c>
      <c r="J12" s="8"/>
      <c r="K12" s="8">
        <v>1.1904999999999999</v>
      </c>
      <c r="L12" s="8"/>
      <c r="M12" s="10">
        <f t="shared" si="2"/>
        <v>1.1904999999999999</v>
      </c>
      <c r="N12" s="7" t="e">
        <f t="shared" si="3"/>
        <v>#DIV/0!</v>
      </c>
      <c r="O12" s="18"/>
      <c r="P12" s="8">
        <v>5.8700000000000002E-2</v>
      </c>
      <c r="Q12" s="8"/>
      <c r="R12" s="10">
        <f t="shared" si="4"/>
        <v>5.8700000000000002E-2</v>
      </c>
      <c r="S12" s="19" t="e">
        <f t="shared" si="5"/>
        <v>#DIV/0!</v>
      </c>
      <c r="T12" s="20">
        <v>0.98129999999999995</v>
      </c>
      <c r="U12" s="21">
        <v>0.98019999999999996</v>
      </c>
      <c r="V12" s="21">
        <v>0.98680000000000001</v>
      </c>
      <c r="W12" s="20">
        <v>0.94410000000000005</v>
      </c>
      <c r="X12" s="21">
        <v>0.9647</v>
      </c>
      <c r="Y12" s="21">
        <v>0.97350000000000003</v>
      </c>
      <c r="Z12" s="10">
        <f t="shared" si="6"/>
        <v>0.97176666666666678</v>
      </c>
      <c r="AA12" s="13">
        <f t="shared" si="7"/>
        <v>1.5533147352248542E-2</v>
      </c>
    </row>
    <row r="13" spans="1:27">
      <c r="A13" s="3">
        <v>9</v>
      </c>
      <c r="B13" s="3">
        <v>180</v>
      </c>
      <c r="C13" s="14"/>
      <c r="F13" s="16"/>
      <c r="G13" s="16"/>
      <c r="H13" s="6" t="e">
        <f t="shared" si="0"/>
        <v>#DIV/0!</v>
      </c>
      <c r="I13" s="7" t="e">
        <f t="shared" si="1"/>
        <v>#DIV/0!</v>
      </c>
      <c r="J13" s="8"/>
      <c r="K13" s="8">
        <v>1.1840999999999999</v>
      </c>
      <c r="L13" s="8"/>
      <c r="M13" s="10">
        <f t="shared" si="2"/>
        <v>1.1840999999999999</v>
      </c>
      <c r="N13" s="7" t="e">
        <f t="shared" si="3"/>
        <v>#DIV/0!</v>
      </c>
      <c r="O13" s="18"/>
      <c r="P13" s="8">
        <v>5.9299999999999999E-2</v>
      </c>
      <c r="Q13" s="8"/>
      <c r="R13" s="10">
        <f t="shared" si="4"/>
        <v>5.9299999999999999E-2</v>
      </c>
      <c r="S13" s="19" t="e">
        <f t="shared" si="5"/>
        <v>#DIV/0!</v>
      </c>
      <c r="T13" s="20">
        <v>0.99890000000000001</v>
      </c>
      <c r="U13" s="21">
        <v>0.98899999999999999</v>
      </c>
      <c r="V13" s="21">
        <v>0.9879</v>
      </c>
      <c r="W13" s="20">
        <v>0.96179999999999999</v>
      </c>
      <c r="X13" s="21">
        <v>0.96319999999999995</v>
      </c>
      <c r="Y13" s="21">
        <v>0.97209999999999996</v>
      </c>
      <c r="Z13" s="10">
        <f t="shared" si="6"/>
        <v>0.97881666666666656</v>
      </c>
      <c r="AA13" s="13">
        <f t="shared" si="7"/>
        <v>1.5284687326427951E-2</v>
      </c>
    </row>
    <row r="14" spans="1:27">
      <c r="A14" s="3" t="s">
        <v>9</v>
      </c>
      <c r="B14" s="3">
        <v>200</v>
      </c>
      <c r="C14" s="14">
        <v>1292</v>
      </c>
      <c r="D14" s="15">
        <v>1298</v>
      </c>
      <c r="E14" s="15">
        <v>1284</v>
      </c>
      <c r="F14" s="16">
        <v>1275</v>
      </c>
      <c r="G14" s="16">
        <v>1285</v>
      </c>
      <c r="H14" s="6">
        <f t="shared" si="0"/>
        <v>1286</v>
      </c>
      <c r="I14" s="7">
        <f t="shared" si="1"/>
        <v>8.7005746936624817</v>
      </c>
      <c r="J14" s="8"/>
      <c r="K14" s="8">
        <v>1.3302</v>
      </c>
      <c r="L14" s="8"/>
      <c r="M14" s="10">
        <f t="shared" si="2"/>
        <v>1.3302</v>
      </c>
      <c r="N14" s="7" t="e">
        <f t="shared" si="3"/>
        <v>#DIV/0!</v>
      </c>
      <c r="O14" s="18"/>
      <c r="P14" s="8">
        <v>6.0299999999999999E-2</v>
      </c>
      <c r="Q14" s="8"/>
      <c r="R14" s="10">
        <f t="shared" si="4"/>
        <v>6.0299999999999999E-2</v>
      </c>
      <c r="S14" s="19" t="e">
        <f t="shared" si="5"/>
        <v>#DIV/0!</v>
      </c>
      <c r="T14" s="20">
        <v>1.0022</v>
      </c>
      <c r="U14" s="21">
        <v>1.0055000000000001</v>
      </c>
      <c r="V14" s="21">
        <v>1.0165</v>
      </c>
      <c r="W14" s="20">
        <v>0.97209999999999996</v>
      </c>
      <c r="X14" s="21">
        <v>0.97650000000000003</v>
      </c>
      <c r="Y14" s="21">
        <v>0.97650000000000003</v>
      </c>
      <c r="Z14" s="10">
        <f t="shared" si="6"/>
        <v>0.99154999999999982</v>
      </c>
      <c r="AA14" s="13">
        <f t="shared" si="7"/>
        <v>1.8771441074142383E-2</v>
      </c>
    </row>
    <row r="16" spans="1:27">
      <c r="A16" s="16"/>
      <c r="F16" s="16"/>
      <c r="G16" s="16"/>
    </row>
    <row r="17" spans="1:7">
      <c r="A17" s="16"/>
      <c r="F17" s="16"/>
      <c r="G17" s="16"/>
    </row>
    <row r="18" spans="1:7">
      <c r="A18" s="16"/>
      <c r="F18" s="16"/>
      <c r="G18" s="16"/>
    </row>
    <row r="19" spans="1:7">
      <c r="A19" s="16"/>
      <c r="F19" s="16"/>
      <c r="G19" s="16"/>
    </row>
    <row r="20" spans="1:7">
      <c r="A20" s="16"/>
      <c r="F20" s="16"/>
      <c r="G20" s="16"/>
    </row>
    <row r="21" spans="1:7" ht="15.75" customHeight="1">
      <c r="A21" s="16"/>
      <c r="F21" s="16"/>
      <c r="G21" s="16"/>
    </row>
    <row r="22" spans="1:7" ht="15.75" customHeight="1">
      <c r="A22" s="16"/>
      <c r="F22" s="16"/>
      <c r="G22" s="16"/>
    </row>
    <row r="23" spans="1:7" ht="15.75" customHeight="1">
      <c r="A23" s="16"/>
      <c r="F23" s="16"/>
      <c r="G23" s="16"/>
    </row>
    <row r="24" spans="1:7" ht="15.75" customHeight="1">
      <c r="A24" s="16"/>
      <c r="F24" s="16"/>
      <c r="G24" s="16"/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Z2:Z3"/>
    <mergeCell ref="AA2:AA3"/>
    <mergeCell ref="A2:A3"/>
    <mergeCell ref="B2:B3"/>
    <mergeCell ref="C2:G2"/>
    <mergeCell ref="H2:H3"/>
    <mergeCell ref="I2:I3"/>
    <mergeCell ref="M2:M3"/>
    <mergeCell ref="N2:N3"/>
    <mergeCell ref="J2:L2"/>
    <mergeCell ref="O2:Q2"/>
    <mergeCell ref="T2:V2"/>
    <mergeCell ref="W2:Y2"/>
    <mergeCell ref="R2:R3"/>
    <mergeCell ref="S2:S3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1000"/>
  <sheetViews>
    <sheetView workbookViewId="0">
      <pane xSplit="1" topLeftCell="B1" activePane="topRight" state="frozen"/>
      <selection pane="topRight" activeCell="C2" sqref="C2:G2"/>
    </sheetView>
  </sheetViews>
  <sheetFormatPr baseColWidth="10" defaultColWidth="12.5703125" defaultRowHeight="15" customHeight="1"/>
  <cols>
    <col min="1" max="8" width="10.5703125" customWidth="1"/>
    <col min="9" max="9" width="11.7109375" customWidth="1"/>
    <col min="10" max="27" width="10.5703125" customWidth="1"/>
  </cols>
  <sheetData>
    <row r="2" spans="1:27">
      <c r="A2" s="148" t="s">
        <v>0</v>
      </c>
      <c r="B2" s="148" t="s">
        <v>1</v>
      </c>
      <c r="C2" s="143" t="s">
        <v>2</v>
      </c>
      <c r="D2" s="141"/>
      <c r="E2" s="141"/>
      <c r="F2" s="141"/>
      <c r="G2" s="142"/>
      <c r="H2" s="144" t="s">
        <v>3</v>
      </c>
      <c r="I2" s="146" t="s">
        <v>4</v>
      </c>
      <c r="J2" s="140" t="s">
        <v>5</v>
      </c>
      <c r="K2" s="141"/>
      <c r="L2" s="142"/>
      <c r="M2" s="144" t="s">
        <v>3</v>
      </c>
      <c r="N2" s="146" t="s">
        <v>4</v>
      </c>
      <c r="O2" s="143" t="s">
        <v>6</v>
      </c>
      <c r="P2" s="141"/>
      <c r="Q2" s="142"/>
      <c r="R2" s="144" t="s">
        <v>3</v>
      </c>
      <c r="S2" s="146" t="s">
        <v>4</v>
      </c>
      <c r="T2" s="143" t="s">
        <v>7</v>
      </c>
      <c r="U2" s="141"/>
      <c r="V2" s="142"/>
      <c r="W2" s="143" t="s">
        <v>8</v>
      </c>
      <c r="X2" s="141"/>
      <c r="Y2" s="142"/>
      <c r="Z2" s="144" t="s">
        <v>3</v>
      </c>
      <c r="AA2" s="146" t="s">
        <v>4</v>
      </c>
    </row>
    <row r="3" spans="1:27">
      <c r="A3" s="149"/>
      <c r="B3" s="149"/>
      <c r="C3" s="1">
        <v>1</v>
      </c>
      <c r="D3" s="2">
        <v>2</v>
      </c>
      <c r="E3" s="2">
        <v>3</v>
      </c>
      <c r="F3" s="2">
        <v>4</v>
      </c>
      <c r="G3" s="2">
        <v>5</v>
      </c>
      <c r="H3" s="145"/>
      <c r="I3" s="147"/>
      <c r="J3" s="2">
        <v>1</v>
      </c>
      <c r="K3" s="2">
        <v>2</v>
      </c>
      <c r="L3" s="2">
        <v>3</v>
      </c>
      <c r="M3" s="145"/>
      <c r="N3" s="147"/>
      <c r="O3" s="1">
        <v>1</v>
      </c>
      <c r="P3" s="2">
        <v>2</v>
      </c>
      <c r="Q3" s="2">
        <v>3</v>
      </c>
      <c r="R3" s="145"/>
      <c r="S3" s="147"/>
      <c r="T3" s="1">
        <v>1</v>
      </c>
      <c r="U3" s="2">
        <v>2</v>
      </c>
      <c r="V3" s="2">
        <v>3</v>
      </c>
      <c r="W3" s="1">
        <v>1</v>
      </c>
      <c r="X3" s="2">
        <v>2</v>
      </c>
      <c r="Y3" s="2">
        <v>3</v>
      </c>
      <c r="Z3" s="145"/>
      <c r="AA3" s="147"/>
    </row>
    <row r="4" spans="1:27">
      <c r="A4" s="3">
        <v>0</v>
      </c>
      <c r="B4" s="3">
        <v>0</v>
      </c>
      <c r="C4" s="4">
        <v>1565</v>
      </c>
      <c r="D4" s="5">
        <v>1558</v>
      </c>
      <c r="E4" s="5">
        <v>1514</v>
      </c>
      <c r="F4" s="5">
        <v>1521</v>
      </c>
      <c r="G4" s="5">
        <v>1530</v>
      </c>
      <c r="H4" s="6">
        <f t="shared" ref="H4:H14" si="0">ROUNDDOWN(AVERAGE(C4:G4),0)</f>
        <v>1537</v>
      </c>
      <c r="I4" s="7">
        <f t="shared" ref="I4:I14" si="1">_xlfn.STDEV.S(C4:G4)</f>
        <v>22.678183348760545</v>
      </c>
      <c r="J4" s="8"/>
      <c r="K4" s="9">
        <v>1.0665</v>
      </c>
      <c r="L4" s="8"/>
      <c r="M4" s="10">
        <f t="shared" ref="M4:M14" si="2">AVERAGE(J4:L4)</f>
        <v>1.0665</v>
      </c>
      <c r="N4" s="7" t="e">
        <f t="shared" ref="N4:N14" si="3">_xlfn.STDEV.S(J4:L4)</f>
        <v>#DIV/0!</v>
      </c>
      <c r="O4" s="8">
        <v>0</v>
      </c>
      <c r="P4" s="8">
        <v>0</v>
      </c>
      <c r="Q4" s="8">
        <v>0</v>
      </c>
      <c r="R4" s="10">
        <f t="shared" ref="R4:R14" si="4">AVERAGE(O4:Q4)</f>
        <v>0</v>
      </c>
      <c r="S4" s="7">
        <f t="shared" ref="S4:S14" si="5">_xlfn.STDEV.S(O4:Q4)</f>
        <v>0</v>
      </c>
      <c r="T4" s="8">
        <v>0.90529999999999999</v>
      </c>
      <c r="U4" s="8">
        <v>0.93100000000000005</v>
      </c>
      <c r="V4" s="8">
        <v>0.91979999999999995</v>
      </c>
      <c r="W4" s="11">
        <v>0.85089999999999999</v>
      </c>
      <c r="X4" s="12">
        <v>0.87539999999999996</v>
      </c>
      <c r="Y4" s="12">
        <v>0.88660000000000005</v>
      </c>
      <c r="Z4" s="10">
        <f t="shared" ref="Z4:Z14" si="6">AVERAGE(T4:Y4)</f>
        <v>0.89483333333333326</v>
      </c>
      <c r="AA4" s="13">
        <f t="shared" ref="AA4:AA14" si="7">_xlfn.STDEV.S(T4:Y4)</f>
        <v>2.9720340958115994E-2</v>
      </c>
    </row>
    <row r="5" spans="1:27">
      <c r="A5" s="3">
        <v>1</v>
      </c>
      <c r="B5" s="3">
        <v>20</v>
      </c>
      <c r="C5" s="14">
        <v>1545</v>
      </c>
      <c r="D5" s="16">
        <v>1521</v>
      </c>
      <c r="E5" s="16">
        <v>1553</v>
      </c>
      <c r="F5" s="16">
        <v>1514</v>
      </c>
      <c r="G5" s="16">
        <v>1506</v>
      </c>
      <c r="H5" s="6">
        <f t="shared" si="0"/>
        <v>1527</v>
      </c>
      <c r="I5" s="7">
        <f t="shared" si="1"/>
        <v>20.265734627691145</v>
      </c>
      <c r="J5" s="8"/>
      <c r="K5" s="8">
        <v>1.1158999999999999</v>
      </c>
      <c r="L5" s="8"/>
      <c r="M5" s="10">
        <f t="shared" si="2"/>
        <v>1.1158999999999999</v>
      </c>
      <c r="N5" s="7" t="e">
        <f t="shared" si="3"/>
        <v>#DIV/0!</v>
      </c>
      <c r="O5" s="18"/>
      <c r="P5" s="8">
        <v>6.3E-3</v>
      </c>
      <c r="Q5" s="8"/>
      <c r="R5" s="10">
        <f t="shared" si="4"/>
        <v>6.3E-3</v>
      </c>
      <c r="S5" s="19" t="e">
        <f t="shared" si="5"/>
        <v>#DIV/0!</v>
      </c>
      <c r="T5" s="20">
        <v>0.93149999999999999</v>
      </c>
      <c r="U5" s="21">
        <v>0.92149999999999999</v>
      </c>
      <c r="V5" s="21">
        <v>0.92020000000000002</v>
      </c>
      <c r="W5" s="20">
        <v>0.88239999999999996</v>
      </c>
      <c r="X5" s="21">
        <v>0.89290000000000003</v>
      </c>
      <c r="Y5" s="21">
        <v>0.88129999999999997</v>
      </c>
      <c r="Z5" s="10">
        <f t="shared" si="6"/>
        <v>0.9049666666666667</v>
      </c>
      <c r="AA5" s="13">
        <f t="shared" si="7"/>
        <v>2.2019960641805586E-2</v>
      </c>
    </row>
    <row r="6" spans="1:27">
      <c r="A6" s="3">
        <v>2</v>
      </c>
      <c r="B6" s="3">
        <v>40</v>
      </c>
      <c r="C6" s="14">
        <v>1498</v>
      </c>
      <c r="D6" s="16">
        <v>1442</v>
      </c>
      <c r="E6" s="16">
        <v>1533</v>
      </c>
      <c r="F6" s="16">
        <v>1535</v>
      </c>
      <c r="G6" s="16">
        <v>1484</v>
      </c>
      <c r="H6" s="6">
        <f t="shared" si="0"/>
        <v>1498</v>
      </c>
      <c r="I6" s="7">
        <f t="shared" si="1"/>
        <v>38.487660360172583</v>
      </c>
      <c r="J6" s="8"/>
      <c r="K6" s="8">
        <v>1.0175000000000001</v>
      </c>
      <c r="L6" s="8"/>
      <c r="M6" s="10">
        <f t="shared" si="2"/>
        <v>1.0175000000000001</v>
      </c>
      <c r="N6" s="7" t="e">
        <f t="shared" si="3"/>
        <v>#DIV/0!</v>
      </c>
      <c r="O6" s="18"/>
      <c r="P6" s="8">
        <v>1.11E-2</v>
      </c>
      <c r="Q6" s="8"/>
      <c r="R6" s="10">
        <f t="shared" si="4"/>
        <v>1.11E-2</v>
      </c>
      <c r="S6" s="19" t="e">
        <f t="shared" si="5"/>
        <v>#DIV/0!</v>
      </c>
      <c r="T6" s="20">
        <v>0.93259999999999998</v>
      </c>
      <c r="U6" s="21">
        <v>0.93400000000000005</v>
      </c>
      <c r="V6" s="21">
        <v>0.93959999999999999</v>
      </c>
      <c r="W6" s="20">
        <v>0.89710000000000001</v>
      </c>
      <c r="X6" s="21">
        <v>0.89910000000000001</v>
      </c>
      <c r="Y6" s="21">
        <v>0.88959999999999995</v>
      </c>
      <c r="Z6" s="10">
        <f t="shared" si="6"/>
        <v>0.91533333333333333</v>
      </c>
      <c r="AA6" s="13">
        <f t="shared" si="7"/>
        <v>2.2332189025410551E-2</v>
      </c>
    </row>
    <row r="7" spans="1:27">
      <c r="A7" s="3">
        <v>3</v>
      </c>
      <c r="B7" s="3">
        <v>60</v>
      </c>
      <c r="C7" s="14">
        <v>1474</v>
      </c>
      <c r="D7" s="16">
        <v>1526</v>
      </c>
      <c r="E7" s="16">
        <v>1416</v>
      </c>
      <c r="F7" s="16">
        <v>1500</v>
      </c>
      <c r="G7" s="16">
        <v>1480</v>
      </c>
      <c r="H7" s="6">
        <f t="shared" si="0"/>
        <v>1479</v>
      </c>
      <c r="I7" s="7">
        <f t="shared" si="1"/>
        <v>40.757821335297109</v>
      </c>
      <c r="J7" s="8"/>
      <c r="K7" s="8">
        <v>1.0476000000000001</v>
      </c>
      <c r="L7" s="8"/>
      <c r="M7" s="10">
        <f t="shared" si="2"/>
        <v>1.0476000000000001</v>
      </c>
      <c r="N7" s="7" t="e">
        <f t="shared" si="3"/>
        <v>#DIV/0!</v>
      </c>
      <c r="O7" s="18"/>
      <c r="P7" s="8">
        <v>1.5900000000000001E-2</v>
      </c>
      <c r="Q7" s="8"/>
      <c r="R7" s="10">
        <f t="shared" si="4"/>
        <v>1.5900000000000001E-2</v>
      </c>
      <c r="S7" s="19" t="e">
        <f t="shared" si="5"/>
        <v>#DIV/0!</v>
      </c>
      <c r="T7" s="20">
        <v>0.93659999999999999</v>
      </c>
      <c r="U7" s="21">
        <v>0.93889999999999996</v>
      </c>
      <c r="V7" s="21">
        <v>0.95330000000000004</v>
      </c>
      <c r="W7" s="20">
        <v>0.90539999999999998</v>
      </c>
      <c r="X7" s="21">
        <v>0.90649999999999997</v>
      </c>
      <c r="Y7" s="21">
        <v>0.91039999999999999</v>
      </c>
      <c r="Z7" s="10">
        <f t="shared" si="6"/>
        <v>0.92518333333333347</v>
      </c>
      <c r="AA7" s="13">
        <f t="shared" si="7"/>
        <v>2.0337297427796722E-2</v>
      </c>
    </row>
    <row r="8" spans="1:27">
      <c r="A8" s="3">
        <v>4</v>
      </c>
      <c r="B8" s="3">
        <v>80</v>
      </c>
      <c r="C8" s="14">
        <v>1417</v>
      </c>
      <c r="D8" s="16">
        <v>1400</v>
      </c>
      <c r="E8" s="16">
        <v>1518</v>
      </c>
      <c r="F8" s="16">
        <v>1464</v>
      </c>
      <c r="G8" s="16">
        <v>1465</v>
      </c>
      <c r="H8" s="6">
        <f t="shared" si="0"/>
        <v>1452</v>
      </c>
      <c r="I8" s="7">
        <f t="shared" si="1"/>
        <v>46.354072097281815</v>
      </c>
      <c r="J8" s="8"/>
      <c r="K8" s="8">
        <v>1.0793999999999999</v>
      </c>
      <c r="L8" s="8"/>
      <c r="M8" s="10">
        <f t="shared" si="2"/>
        <v>1.0793999999999999</v>
      </c>
      <c r="N8" s="7" t="e">
        <f t="shared" si="3"/>
        <v>#DIV/0!</v>
      </c>
      <c r="O8" s="18"/>
      <c r="P8" s="8">
        <v>2.2700000000000001E-2</v>
      </c>
      <c r="Q8" s="8"/>
      <c r="R8" s="10">
        <f t="shared" si="4"/>
        <v>2.2700000000000001E-2</v>
      </c>
      <c r="S8" s="19" t="e">
        <f t="shared" si="5"/>
        <v>#DIV/0!</v>
      </c>
      <c r="T8" s="20">
        <v>0.95430000000000004</v>
      </c>
      <c r="U8" s="21">
        <v>0.95509999999999995</v>
      </c>
      <c r="V8" s="21">
        <v>0.94550000000000001</v>
      </c>
      <c r="W8" s="20">
        <v>0.91090000000000004</v>
      </c>
      <c r="X8" s="21">
        <v>0.92259999999999998</v>
      </c>
      <c r="Y8" s="21">
        <v>0.92410000000000003</v>
      </c>
      <c r="Z8" s="10">
        <f t="shared" si="6"/>
        <v>0.93541666666666667</v>
      </c>
      <c r="AA8" s="13">
        <f t="shared" si="7"/>
        <v>1.8649870419567696E-2</v>
      </c>
    </row>
    <row r="9" spans="1:27">
      <c r="A9" s="3">
        <v>5</v>
      </c>
      <c r="B9" s="3">
        <v>100</v>
      </c>
      <c r="C9" s="14">
        <v>1432</v>
      </c>
      <c r="D9" s="16">
        <v>1407</v>
      </c>
      <c r="E9" s="16">
        <v>1414</v>
      </c>
      <c r="F9" s="16">
        <v>1451</v>
      </c>
      <c r="G9" s="16">
        <v>1445</v>
      </c>
      <c r="H9" s="6">
        <f t="shared" si="0"/>
        <v>1429</v>
      </c>
      <c r="I9" s="7">
        <f t="shared" si="1"/>
        <v>19.070920271449932</v>
      </c>
      <c r="J9" s="8"/>
      <c r="K9" s="8">
        <v>1.1616</v>
      </c>
      <c r="L9" s="8"/>
      <c r="M9" s="10">
        <f t="shared" si="2"/>
        <v>1.1616</v>
      </c>
      <c r="N9" s="7" t="e">
        <f t="shared" si="3"/>
        <v>#DIV/0!</v>
      </c>
      <c r="O9" s="18"/>
      <c r="P9" s="8">
        <v>2.93E-2</v>
      </c>
      <c r="Q9" s="8"/>
      <c r="R9" s="10">
        <f t="shared" si="4"/>
        <v>2.93E-2</v>
      </c>
      <c r="S9" s="19" t="e">
        <f t="shared" si="5"/>
        <v>#DIV/0!</v>
      </c>
      <c r="T9" s="20">
        <v>0.95409999999999995</v>
      </c>
      <c r="U9" s="21">
        <v>0.95799999999999996</v>
      </c>
      <c r="V9" s="21">
        <v>0.96399999999999997</v>
      </c>
      <c r="W9" s="20">
        <v>0.91969999999999996</v>
      </c>
      <c r="X9" s="21">
        <v>0.9304</v>
      </c>
      <c r="Y9" s="21">
        <v>0.93530000000000002</v>
      </c>
      <c r="Z9" s="10">
        <f t="shared" si="6"/>
        <v>0.94358333333333322</v>
      </c>
      <c r="AA9" s="13">
        <f t="shared" si="7"/>
        <v>1.7596069636900916E-2</v>
      </c>
    </row>
    <row r="10" spans="1:27">
      <c r="A10" s="3">
        <v>6</v>
      </c>
      <c r="B10" s="3">
        <v>120</v>
      </c>
      <c r="C10" s="14">
        <v>1428</v>
      </c>
      <c r="D10" s="16">
        <v>1361</v>
      </c>
      <c r="E10" s="16">
        <v>1428</v>
      </c>
      <c r="F10" s="16">
        <v>1443</v>
      </c>
      <c r="G10" s="16">
        <v>1422</v>
      </c>
      <c r="H10" s="6">
        <f t="shared" si="0"/>
        <v>1416</v>
      </c>
      <c r="I10" s="7">
        <f t="shared" si="1"/>
        <v>31.926478039395448</v>
      </c>
      <c r="J10" s="8"/>
      <c r="K10" s="8">
        <v>1.1714</v>
      </c>
      <c r="L10" s="8"/>
      <c r="M10" s="10">
        <f t="shared" si="2"/>
        <v>1.1714</v>
      </c>
      <c r="N10" s="7" t="e">
        <f t="shared" si="3"/>
        <v>#DIV/0!</v>
      </c>
      <c r="O10" s="18"/>
      <c r="P10" s="8">
        <v>3.4799999999999998E-2</v>
      </c>
      <c r="Q10" s="8"/>
      <c r="R10" s="10">
        <f t="shared" si="4"/>
        <v>3.4799999999999998E-2</v>
      </c>
      <c r="S10" s="19" t="e">
        <f t="shared" si="5"/>
        <v>#DIV/0!</v>
      </c>
      <c r="T10" s="20">
        <v>0.98450000000000004</v>
      </c>
      <c r="U10" s="21">
        <v>0.98219999999999996</v>
      </c>
      <c r="V10" s="21">
        <v>0.93579999999999997</v>
      </c>
      <c r="W10" s="20">
        <v>0.93369999999999997</v>
      </c>
      <c r="X10" s="21">
        <v>0.93659999999999999</v>
      </c>
      <c r="Y10" s="21">
        <v>0.94410000000000005</v>
      </c>
      <c r="Z10" s="10">
        <f t="shared" si="6"/>
        <v>0.95281666666666665</v>
      </c>
      <c r="AA10" s="13">
        <f t="shared" si="7"/>
        <v>2.3921489641463949E-2</v>
      </c>
    </row>
    <row r="11" spans="1:27">
      <c r="A11" s="3">
        <v>7</v>
      </c>
      <c r="B11" s="3">
        <v>140</v>
      </c>
      <c r="C11" s="14">
        <v>1362</v>
      </c>
      <c r="D11" s="16">
        <v>1328</v>
      </c>
      <c r="E11" s="16">
        <v>1402</v>
      </c>
      <c r="F11" s="16">
        <v>1398</v>
      </c>
      <c r="G11" s="16">
        <v>1399</v>
      </c>
      <c r="H11" s="6">
        <f t="shared" si="0"/>
        <v>1377</v>
      </c>
      <c r="I11" s="7">
        <f t="shared" si="1"/>
        <v>32.298606781098158</v>
      </c>
      <c r="J11" s="8"/>
      <c r="K11" s="8">
        <v>1.109</v>
      </c>
      <c r="L11" s="8"/>
      <c r="M11" s="10">
        <f t="shared" si="2"/>
        <v>1.109</v>
      </c>
      <c r="N11" s="7" t="e">
        <f t="shared" si="3"/>
        <v>#DIV/0!</v>
      </c>
      <c r="O11" s="18"/>
      <c r="P11" s="8">
        <v>4.02E-2</v>
      </c>
      <c r="Q11" s="8"/>
      <c r="R11" s="10">
        <f t="shared" si="4"/>
        <v>4.02E-2</v>
      </c>
      <c r="S11" s="19" t="e">
        <f t="shared" si="5"/>
        <v>#DIV/0!</v>
      </c>
      <c r="T11" s="20">
        <v>0.97450000000000003</v>
      </c>
      <c r="U11" s="21">
        <v>0.97040000000000004</v>
      </c>
      <c r="V11" s="21">
        <v>0.97629999999999995</v>
      </c>
      <c r="W11" s="20">
        <v>0.94350000000000001</v>
      </c>
      <c r="X11" s="21">
        <v>0.94040000000000001</v>
      </c>
      <c r="Y11" s="21">
        <v>0.9607</v>
      </c>
      <c r="Z11" s="10">
        <f t="shared" si="6"/>
        <v>0.96096666666666675</v>
      </c>
      <c r="AA11" s="13">
        <f t="shared" si="7"/>
        <v>1.5718736166329229E-2</v>
      </c>
    </row>
    <row r="12" spans="1:27">
      <c r="A12" s="3">
        <v>8</v>
      </c>
      <c r="B12" s="3">
        <v>160</v>
      </c>
      <c r="C12" s="14">
        <v>1322</v>
      </c>
      <c r="D12" s="16">
        <v>1292</v>
      </c>
      <c r="E12" s="16">
        <v>1379</v>
      </c>
      <c r="F12" s="16">
        <v>1365</v>
      </c>
      <c r="G12" s="16">
        <v>1343</v>
      </c>
      <c r="H12" s="6">
        <f t="shared" si="0"/>
        <v>1340</v>
      </c>
      <c r="I12" s="7">
        <f t="shared" si="1"/>
        <v>34.578895297565538</v>
      </c>
      <c r="J12" s="8"/>
      <c r="K12" s="8">
        <v>1.2317</v>
      </c>
      <c r="L12" s="8"/>
      <c r="M12" s="10">
        <f t="shared" si="2"/>
        <v>1.2317</v>
      </c>
      <c r="N12" s="7" t="e">
        <f t="shared" si="3"/>
        <v>#DIV/0!</v>
      </c>
      <c r="O12" s="18"/>
      <c r="P12" s="8">
        <v>4.5999999999999999E-2</v>
      </c>
      <c r="Q12" s="8"/>
      <c r="R12" s="10">
        <f t="shared" si="4"/>
        <v>4.5999999999999999E-2</v>
      </c>
      <c r="S12" s="19" t="e">
        <f t="shared" si="5"/>
        <v>#DIV/0!</v>
      </c>
      <c r="T12" s="20">
        <v>0.98360000000000003</v>
      </c>
      <c r="U12" s="21">
        <v>0.98750000000000004</v>
      </c>
      <c r="V12" s="21">
        <v>0.9778</v>
      </c>
      <c r="W12" s="20">
        <v>0.9466</v>
      </c>
      <c r="X12" s="21">
        <v>0.94789999999999996</v>
      </c>
      <c r="Y12" s="21">
        <v>0.97350000000000003</v>
      </c>
      <c r="Z12" s="10">
        <f t="shared" si="6"/>
        <v>0.96948333333333336</v>
      </c>
      <c r="AA12" s="13">
        <f t="shared" si="7"/>
        <v>1.7881098027432978E-2</v>
      </c>
    </row>
    <row r="13" spans="1:27">
      <c r="A13" s="3">
        <v>9</v>
      </c>
      <c r="B13" s="3">
        <v>180</v>
      </c>
      <c r="C13" s="14">
        <v>1285</v>
      </c>
      <c r="D13" s="16">
        <v>1221</v>
      </c>
      <c r="E13" s="16">
        <v>1327</v>
      </c>
      <c r="F13" s="16">
        <v>1338</v>
      </c>
      <c r="G13" s="16">
        <v>1363</v>
      </c>
      <c r="H13" s="6">
        <f t="shared" si="0"/>
        <v>1306</v>
      </c>
      <c r="I13" s="7">
        <f t="shared" si="1"/>
        <v>55.625533705304797</v>
      </c>
      <c r="J13" s="8"/>
      <c r="K13" s="8">
        <v>1.2465999999999999</v>
      </c>
      <c r="L13" s="8"/>
      <c r="M13" s="10">
        <f t="shared" si="2"/>
        <v>1.2465999999999999</v>
      </c>
      <c r="N13" s="7" t="e">
        <f t="shared" si="3"/>
        <v>#DIV/0!</v>
      </c>
      <c r="O13" s="18"/>
      <c r="P13" s="8">
        <v>5.28E-2</v>
      </c>
      <c r="Q13" s="8"/>
      <c r="R13" s="10">
        <f t="shared" si="4"/>
        <v>5.28E-2</v>
      </c>
      <c r="S13" s="19" t="e">
        <f t="shared" si="5"/>
        <v>#DIV/0!</v>
      </c>
      <c r="T13" s="20">
        <v>0.99050000000000005</v>
      </c>
      <c r="U13" s="21">
        <v>0.98119999999999996</v>
      </c>
      <c r="V13" s="21">
        <v>0.99139999999999995</v>
      </c>
      <c r="W13" s="20">
        <v>0.96399999999999997</v>
      </c>
      <c r="X13" s="21">
        <v>0.95650000000000002</v>
      </c>
      <c r="Y13" s="21">
        <v>0.9647</v>
      </c>
      <c r="Z13" s="10">
        <f t="shared" si="6"/>
        <v>0.97471666666666656</v>
      </c>
      <c r="AA13" s="13">
        <f t="shared" si="7"/>
        <v>1.4943281656539386E-2</v>
      </c>
    </row>
    <row r="14" spans="1:27">
      <c r="A14" s="3" t="s">
        <v>9</v>
      </c>
      <c r="B14" s="3">
        <v>200</v>
      </c>
      <c r="C14" s="14">
        <v>1403</v>
      </c>
      <c r="D14" s="16">
        <v>1402</v>
      </c>
      <c r="E14" s="16">
        <v>1365</v>
      </c>
      <c r="F14" s="16">
        <v>1332</v>
      </c>
      <c r="G14" s="16">
        <v>1318</v>
      </c>
      <c r="H14" s="6">
        <f t="shared" si="0"/>
        <v>1364</v>
      </c>
      <c r="I14" s="7">
        <f t="shared" si="1"/>
        <v>39.070449191172607</v>
      </c>
      <c r="J14" s="8"/>
      <c r="K14" s="8">
        <v>1.2586999999999999</v>
      </c>
      <c r="L14" s="8"/>
      <c r="M14" s="10">
        <f t="shared" si="2"/>
        <v>1.2586999999999999</v>
      </c>
      <c r="N14" s="7" t="e">
        <f t="shared" si="3"/>
        <v>#DIV/0!</v>
      </c>
      <c r="O14" s="18"/>
      <c r="P14" s="8">
        <v>5.5300000000000002E-2</v>
      </c>
      <c r="Q14" s="8"/>
      <c r="R14" s="10">
        <f t="shared" si="4"/>
        <v>5.5300000000000002E-2</v>
      </c>
      <c r="S14" s="19" t="e">
        <f t="shared" si="5"/>
        <v>#DIV/0!</v>
      </c>
      <c r="T14" s="20">
        <v>0.99360000000000004</v>
      </c>
      <c r="U14" s="21">
        <v>0.99529999999999996</v>
      </c>
      <c r="V14" s="21">
        <v>1.018</v>
      </c>
      <c r="W14" s="20">
        <v>0.97289999999999999</v>
      </c>
      <c r="X14" s="21">
        <v>0.97030000000000005</v>
      </c>
      <c r="Y14" s="21">
        <v>0.9899</v>
      </c>
      <c r="Z14" s="10">
        <f t="shared" si="6"/>
        <v>0.98999999999999988</v>
      </c>
      <c r="AA14" s="13">
        <f t="shared" si="7"/>
        <v>1.7352579059033264E-2</v>
      </c>
    </row>
    <row r="16" spans="1:27">
      <c r="A16" s="16"/>
      <c r="F16" s="16"/>
      <c r="G16" s="16"/>
    </row>
    <row r="17" spans="1:9">
      <c r="A17" s="16"/>
      <c r="C17" s="16"/>
      <c r="H17" s="16"/>
      <c r="I17" s="16"/>
    </row>
    <row r="18" spans="1:9">
      <c r="A18" s="16"/>
      <c r="C18" s="16"/>
      <c r="H18" s="16"/>
      <c r="I18" s="16"/>
    </row>
    <row r="19" spans="1:9">
      <c r="A19" s="16"/>
      <c r="C19" s="16"/>
      <c r="H19" s="16"/>
      <c r="I19" s="16"/>
    </row>
    <row r="20" spans="1:9">
      <c r="A20" s="16"/>
      <c r="C20" s="16"/>
      <c r="H20" s="16"/>
      <c r="I20" s="16"/>
    </row>
    <row r="21" spans="1:9" ht="15.75" customHeight="1">
      <c r="A21" s="16"/>
      <c r="C21" s="16"/>
      <c r="H21" s="16"/>
      <c r="I21" s="16"/>
    </row>
    <row r="22" spans="1:9" ht="15.75" customHeight="1">
      <c r="A22" s="16"/>
      <c r="F22" s="16"/>
      <c r="G22" s="16"/>
    </row>
    <row r="23" spans="1:9" ht="15.75" customHeight="1">
      <c r="A23" s="16"/>
      <c r="F23" s="16"/>
      <c r="G23" s="16"/>
    </row>
    <row r="24" spans="1:9" ht="15.75" customHeight="1">
      <c r="A24" s="16"/>
      <c r="F24" s="16"/>
      <c r="G24" s="16"/>
    </row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spans="5:11" ht="15.75" customHeight="1"/>
    <row r="34" spans="5:11" ht="15.75" customHeight="1"/>
    <row r="35" spans="5:11" ht="15.75" customHeight="1"/>
    <row r="36" spans="5:11" ht="15.75" customHeight="1">
      <c r="E36" s="16"/>
      <c r="J36" s="16"/>
      <c r="K36" s="16"/>
    </row>
    <row r="37" spans="5:11" ht="15.75" customHeight="1">
      <c r="E37" s="16"/>
      <c r="J37" s="16"/>
      <c r="K37" s="16"/>
    </row>
    <row r="38" spans="5:11" ht="15.75" customHeight="1">
      <c r="E38" s="16"/>
      <c r="J38" s="16"/>
      <c r="K38" s="16"/>
    </row>
    <row r="39" spans="5:11" ht="15.75" customHeight="1">
      <c r="E39" s="16"/>
      <c r="J39" s="16"/>
      <c r="K39" s="16"/>
    </row>
    <row r="40" spans="5:11" ht="15.75" customHeight="1">
      <c r="E40" s="16"/>
      <c r="J40" s="16"/>
      <c r="K40" s="16"/>
    </row>
    <row r="41" spans="5:11" ht="15.75" customHeight="1"/>
    <row r="42" spans="5:11" ht="15.75" customHeight="1"/>
    <row r="43" spans="5:11" ht="15.75" customHeight="1"/>
    <row r="44" spans="5:11" ht="15.75" customHeight="1"/>
    <row r="45" spans="5:11" ht="15.75" customHeight="1"/>
    <row r="46" spans="5:11" ht="15.75" customHeight="1"/>
    <row r="47" spans="5:11" ht="15.75" customHeight="1"/>
    <row r="48" spans="5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Z2:Z3"/>
    <mergeCell ref="AA2:AA3"/>
    <mergeCell ref="A2:A3"/>
    <mergeCell ref="B2:B3"/>
    <mergeCell ref="C2:G2"/>
    <mergeCell ref="H2:H3"/>
    <mergeCell ref="I2:I3"/>
    <mergeCell ref="M2:M3"/>
    <mergeCell ref="N2:N3"/>
    <mergeCell ref="J2:L2"/>
    <mergeCell ref="O2:Q2"/>
    <mergeCell ref="T2:V2"/>
    <mergeCell ref="W2:Y2"/>
    <mergeCell ref="R2:R3"/>
    <mergeCell ref="S2:S3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selection sqref="A1:Y1"/>
    </sheetView>
  </sheetViews>
  <sheetFormatPr baseColWidth="10" defaultColWidth="12.5703125" defaultRowHeight="15" customHeight="1"/>
  <cols>
    <col min="1" max="1" width="11.42578125" customWidth="1"/>
    <col min="2" max="19" width="10.5703125" customWidth="1"/>
    <col min="20" max="20" width="12" customWidth="1"/>
    <col min="21" max="21" width="10.5703125" customWidth="1"/>
    <col min="22" max="22" width="12" customWidth="1"/>
    <col min="23" max="24" width="10.5703125" customWidth="1"/>
    <col min="25" max="25" width="11.42578125" customWidth="1"/>
    <col min="26" max="26" width="10.5703125" customWidth="1"/>
  </cols>
  <sheetData>
    <row r="1" spans="1:25">
      <c r="A1" s="150" t="s">
        <v>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2"/>
    </row>
    <row r="2" spans="1:25">
      <c r="A2" s="153" t="s">
        <v>11</v>
      </c>
      <c r="B2" s="154"/>
      <c r="C2" s="154"/>
      <c r="D2" s="154"/>
      <c r="E2" s="154"/>
      <c r="F2" s="154"/>
      <c r="G2" s="154"/>
      <c r="H2" s="154"/>
      <c r="I2" s="155"/>
      <c r="K2" s="156" t="s">
        <v>12</v>
      </c>
      <c r="L2" s="157"/>
      <c r="M2" s="157"/>
      <c r="N2" s="157"/>
      <c r="O2" s="157"/>
      <c r="P2" s="157"/>
      <c r="Q2" s="158"/>
      <c r="S2" s="156" t="s">
        <v>13</v>
      </c>
      <c r="T2" s="157"/>
      <c r="U2" s="157"/>
      <c r="V2" s="157"/>
      <c r="W2" s="157"/>
      <c r="X2" s="157"/>
      <c r="Y2" s="158"/>
    </row>
    <row r="3" spans="1:25">
      <c r="A3" s="23" t="s">
        <v>0</v>
      </c>
      <c r="B3" s="24" t="s">
        <v>14</v>
      </c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6" t="s">
        <v>3</v>
      </c>
      <c r="I3" s="27" t="s">
        <v>4</v>
      </c>
      <c r="K3" s="24" t="s">
        <v>14</v>
      </c>
      <c r="L3" s="25">
        <v>1</v>
      </c>
      <c r="M3" s="25">
        <v>2</v>
      </c>
      <c r="N3" s="25">
        <v>3</v>
      </c>
      <c r="O3" s="25">
        <v>4</v>
      </c>
      <c r="P3" s="25">
        <v>5</v>
      </c>
      <c r="Q3" s="26" t="s">
        <v>3</v>
      </c>
      <c r="S3" s="23" t="s">
        <v>14</v>
      </c>
      <c r="T3" s="28">
        <v>1</v>
      </c>
      <c r="U3" s="25">
        <v>2</v>
      </c>
      <c r="V3" s="25">
        <v>3</v>
      </c>
      <c r="W3" s="25">
        <v>4</v>
      </c>
      <c r="X3" s="25">
        <v>5</v>
      </c>
      <c r="Y3" s="29" t="s">
        <v>3</v>
      </c>
    </row>
    <row r="4" spans="1:25">
      <c r="A4" s="5" t="s">
        <v>15</v>
      </c>
      <c r="B4" s="5">
        <v>0</v>
      </c>
      <c r="C4" s="4">
        <f>'Lote 1'!C4</f>
        <v>1540</v>
      </c>
      <c r="D4" s="5">
        <f>'Lote 1'!D4</f>
        <v>1532</v>
      </c>
      <c r="E4" s="5">
        <f>'Lote 1'!E4</f>
        <v>1539</v>
      </c>
      <c r="F4" s="5">
        <f>'Lote 1'!F4</f>
        <v>1535</v>
      </c>
      <c r="G4" s="30">
        <f>'Lote 1'!G4</f>
        <v>1542</v>
      </c>
      <c r="H4" s="16">
        <f t="shared" ref="H4:H14" si="0">ROUND(AVERAGE(C4:G4),0)</f>
        <v>1538</v>
      </c>
      <c r="I4" s="31">
        <f t="shared" ref="I4:I12" si="1">_xlfn.STDEV.S(C4:G4)</f>
        <v>4.0373258476372698</v>
      </c>
      <c r="K4" s="5">
        <v>0</v>
      </c>
      <c r="L4" s="32">
        <f t="shared" ref="L4:P4" si="2">1/C4</f>
        <v>6.4935064935064935E-4</v>
      </c>
      <c r="M4" s="33">
        <f t="shared" si="2"/>
        <v>6.5274151436031332E-4</v>
      </c>
      <c r="N4" s="33">
        <f t="shared" si="2"/>
        <v>6.4977257959714096E-4</v>
      </c>
      <c r="O4" s="33">
        <f t="shared" si="2"/>
        <v>6.5146579804560263E-4</v>
      </c>
      <c r="P4" s="33">
        <f t="shared" si="2"/>
        <v>6.485084306095979E-4</v>
      </c>
      <c r="Q4" s="34">
        <f t="shared" ref="Q4:Q14" si="3">AVERAGE(L4:P4)</f>
        <v>6.5036779439266081E-4</v>
      </c>
      <c r="S4" s="5">
        <v>0</v>
      </c>
      <c r="T4" s="4">
        <v>0</v>
      </c>
      <c r="U4" s="5">
        <v>0</v>
      </c>
      <c r="V4" s="5">
        <v>0</v>
      </c>
      <c r="W4" s="5">
        <v>0</v>
      </c>
      <c r="X4" s="5">
        <v>0</v>
      </c>
      <c r="Y4" s="35">
        <v>0</v>
      </c>
    </row>
    <row r="5" spans="1:25">
      <c r="A5" s="16">
        <v>1</v>
      </c>
      <c r="B5" s="16">
        <v>20</v>
      </c>
      <c r="C5" s="14">
        <f>'Lote 1'!C5</f>
        <v>1470</v>
      </c>
      <c r="D5" s="16">
        <f>'Lote 1'!D5</f>
        <v>1512</v>
      </c>
      <c r="E5" s="16">
        <f>'Lote 1'!E5</f>
        <v>1462</v>
      </c>
      <c r="F5" s="16">
        <f>'Lote 1'!F5</f>
        <v>1521</v>
      </c>
      <c r="G5" s="36">
        <f>'Lote 1'!G5</f>
        <v>1502</v>
      </c>
      <c r="H5" s="16">
        <f t="shared" si="0"/>
        <v>1493</v>
      </c>
      <c r="I5" s="37">
        <f t="shared" si="1"/>
        <v>26.053790511171304</v>
      </c>
      <c r="K5" s="16">
        <v>20</v>
      </c>
      <c r="L5" s="38">
        <f t="shared" ref="L5:P5" si="4">1/C5</f>
        <v>6.8027210884353737E-4</v>
      </c>
      <c r="M5" s="39">
        <f t="shared" si="4"/>
        <v>6.6137566137566134E-4</v>
      </c>
      <c r="N5" s="39">
        <f t="shared" si="4"/>
        <v>6.8399452804377564E-4</v>
      </c>
      <c r="O5" s="39">
        <f t="shared" si="4"/>
        <v>6.5746219592373442E-4</v>
      </c>
      <c r="P5" s="39">
        <f t="shared" si="4"/>
        <v>6.6577896138482028E-4</v>
      </c>
      <c r="Q5" s="39">
        <f t="shared" si="3"/>
        <v>6.6977669111430583E-4</v>
      </c>
      <c r="S5" s="16">
        <v>20</v>
      </c>
      <c r="T5" s="40">
        <f t="shared" ref="T5:X5" si="5">(L5-$M$46)/$M$46</f>
        <v>4.6031746031746049E-2</v>
      </c>
      <c r="U5" s="41">
        <f t="shared" si="5"/>
        <v>1.6975308641975339E-2</v>
      </c>
      <c r="V5" s="41">
        <f t="shared" si="5"/>
        <v>5.1755585955312433E-2</v>
      </c>
      <c r="W5" s="41">
        <f t="shared" si="5"/>
        <v>1.095770326539571E-2</v>
      </c>
      <c r="X5" s="42">
        <f t="shared" si="5"/>
        <v>2.3746116289392081E-2</v>
      </c>
      <c r="Y5" s="43">
        <f t="shared" ref="Y5:Y14" si="6">AVERAGE(T5:X5)</f>
        <v>2.9893292036764323E-2</v>
      </c>
    </row>
    <row r="6" spans="1:25">
      <c r="A6" s="16">
        <v>2</v>
      </c>
      <c r="B6" s="16">
        <v>40</v>
      </c>
      <c r="C6" s="14">
        <f>'Lote 1'!C6</f>
        <v>1444</v>
      </c>
      <c r="D6" s="16">
        <f>'Lote 1'!D6</f>
        <v>1451</v>
      </c>
      <c r="E6" s="16">
        <f>'Lote 1'!E6</f>
        <v>1425</v>
      </c>
      <c r="F6" s="16">
        <f>'Lote 1'!F6</f>
        <v>1447</v>
      </c>
      <c r="G6" s="36">
        <f>'Lote 1'!G6</f>
        <v>1547</v>
      </c>
      <c r="H6" s="16">
        <f t="shared" si="0"/>
        <v>1463</v>
      </c>
      <c r="I6" s="37">
        <f t="shared" si="1"/>
        <v>48.116525227825832</v>
      </c>
      <c r="K6" s="16">
        <v>40</v>
      </c>
      <c r="L6" s="38">
        <f t="shared" ref="L6:P6" si="7">1/C6</f>
        <v>6.925207756232687E-4</v>
      </c>
      <c r="M6" s="39">
        <f t="shared" si="7"/>
        <v>6.8917987594762232E-4</v>
      </c>
      <c r="N6" s="39">
        <f t="shared" si="7"/>
        <v>7.0175438596491223E-4</v>
      </c>
      <c r="O6" s="39">
        <f t="shared" si="7"/>
        <v>6.9108500345542499E-4</v>
      </c>
      <c r="P6" s="39">
        <f t="shared" si="7"/>
        <v>6.4641241111829345E-4</v>
      </c>
      <c r="Q6" s="39">
        <f t="shared" si="3"/>
        <v>6.8419049042190425E-4</v>
      </c>
      <c r="S6" s="16">
        <v>40</v>
      </c>
      <c r="T6" s="44">
        <f t="shared" ref="T6:X6" si="8">(L6-$M$46)/$M$46</f>
        <v>6.4866112650046256E-2</v>
      </c>
      <c r="U6" s="43">
        <f t="shared" si="8"/>
        <v>5.972892258212735E-2</v>
      </c>
      <c r="V6" s="43">
        <f t="shared" si="8"/>
        <v>7.9064327485380129E-2</v>
      </c>
      <c r="W6" s="43">
        <f t="shared" si="8"/>
        <v>6.2658373646625257E-2</v>
      </c>
      <c r="X6" s="45">
        <f t="shared" si="8"/>
        <v>-6.0331825037706838E-3</v>
      </c>
      <c r="Y6" s="43">
        <f t="shared" si="6"/>
        <v>5.2056910772081667E-2</v>
      </c>
    </row>
    <row r="7" spans="1:25">
      <c r="A7" s="16">
        <v>3</v>
      </c>
      <c r="B7" s="16">
        <v>60</v>
      </c>
      <c r="C7" s="14">
        <f>'Lote 1'!C7</f>
        <v>1444</v>
      </c>
      <c r="D7" s="16">
        <f>'Lote 1'!D7</f>
        <v>1447</v>
      </c>
      <c r="E7" s="16">
        <f>'Lote 1'!E7</f>
        <v>1405</v>
      </c>
      <c r="F7" s="16">
        <f>'Lote 1'!F7</f>
        <v>1437</v>
      </c>
      <c r="G7" s="36">
        <f>'Lote 1'!G7</f>
        <v>1427</v>
      </c>
      <c r="H7" s="16">
        <f t="shared" si="0"/>
        <v>1432</v>
      </c>
      <c r="I7" s="37">
        <f t="shared" si="1"/>
        <v>16.941074346097416</v>
      </c>
      <c r="K7" s="16">
        <v>60</v>
      </c>
      <c r="L7" s="38">
        <f t="shared" ref="L7:P7" si="9">1/C7</f>
        <v>6.925207756232687E-4</v>
      </c>
      <c r="M7" s="39">
        <f t="shared" si="9"/>
        <v>6.9108500345542499E-4</v>
      </c>
      <c r="N7" s="39">
        <f t="shared" si="9"/>
        <v>7.1174377224199293E-4</v>
      </c>
      <c r="O7" s="39">
        <f t="shared" si="9"/>
        <v>6.9589422407794019E-4</v>
      </c>
      <c r="P7" s="39">
        <f t="shared" si="9"/>
        <v>7.0077084793272596E-4</v>
      </c>
      <c r="Q7" s="39">
        <f t="shared" si="3"/>
        <v>6.9840292466627062E-4</v>
      </c>
      <c r="S7" s="16">
        <v>60</v>
      </c>
      <c r="T7" s="44">
        <f t="shared" ref="T7:X7" si="10">(L7-$M$46)/$M$46</f>
        <v>6.4866112650046256E-2</v>
      </c>
      <c r="U7" s="43">
        <f t="shared" si="10"/>
        <v>6.2658373646625257E-2</v>
      </c>
      <c r="V7" s="43">
        <f t="shared" si="10"/>
        <v>9.442467378410456E-2</v>
      </c>
      <c r="W7" s="43">
        <f t="shared" si="10"/>
        <v>7.0053351890512788E-2</v>
      </c>
      <c r="X7" s="45">
        <f t="shared" si="10"/>
        <v>7.755197383788838E-2</v>
      </c>
      <c r="Y7" s="43">
        <f t="shared" si="6"/>
        <v>7.3910897161835451E-2</v>
      </c>
    </row>
    <row r="8" spans="1:25">
      <c r="A8" s="16">
        <v>4</v>
      </c>
      <c r="B8" s="16">
        <v>80</v>
      </c>
      <c r="C8" s="14">
        <f>'Lote 1'!C8</f>
        <v>1398</v>
      </c>
      <c r="D8" s="16">
        <f>'Lote 1'!D8</f>
        <v>1401</v>
      </c>
      <c r="E8" s="16">
        <f>'Lote 1'!E8</f>
        <v>1428</v>
      </c>
      <c r="F8" s="16">
        <f>'Lote 1'!F8</f>
        <v>1408</v>
      </c>
      <c r="G8" s="36">
        <f>'Lote 1'!G8</f>
        <v>1416</v>
      </c>
      <c r="H8" s="16">
        <f t="shared" si="0"/>
        <v>1410</v>
      </c>
      <c r="I8" s="37">
        <f t="shared" si="1"/>
        <v>12.13260071048248</v>
      </c>
      <c r="K8" s="16">
        <v>80</v>
      </c>
      <c r="L8" s="38">
        <f t="shared" ref="L8:P8" si="11">1/C8</f>
        <v>7.1530758226037196E-4</v>
      </c>
      <c r="M8" s="39">
        <f t="shared" si="11"/>
        <v>7.1377587437544611E-4</v>
      </c>
      <c r="N8" s="39">
        <f t="shared" si="11"/>
        <v>7.0028011204481793E-4</v>
      </c>
      <c r="O8" s="39">
        <f t="shared" si="11"/>
        <v>7.1022727272727275E-4</v>
      </c>
      <c r="P8" s="39">
        <f t="shared" si="11"/>
        <v>7.0621468926553672E-4</v>
      </c>
      <c r="Q8" s="39">
        <f t="shared" si="3"/>
        <v>7.0916110613468918E-4</v>
      </c>
      <c r="S8" s="16">
        <v>80</v>
      </c>
      <c r="T8" s="44">
        <f t="shared" ref="T8:X8" si="12">(L8-$M$46)/$M$46</f>
        <v>9.9904625655698714E-2</v>
      </c>
      <c r="U8" s="43">
        <f t="shared" si="12"/>
        <v>9.7549369497977739E-2</v>
      </c>
      <c r="V8" s="43">
        <f t="shared" si="12"/>
        <v>7.6797385620915135E-2</v>
      </c>
      <c r="W8" s="43">
        <f t="shared" si="12"/>
        <v>9.209280303030315E-2</v>
      </c>
      <c r="X8" s="45">
        <f t="shared" si="12"/>
        <v>8.5922787193973726E-2</v>
      </c>
      <c r="Y8" s="43">
        <f t="shared" si="6"/>
        <v>9.045339419977369E-2</v>
      </c>
    </row>
    <row r="9" spans="1:25">
      <c r="A9" s="16">
        <v>5</v>
      </c>
      <c r="B9" s="16">
        <v>100</v>
      </c>
      <c r="C9" s="14">
        <f>'Lote 1'!C9</f>
        <v>1409</v>
      </c>
      <c r="D9" s="16">
        <f>'Lote 1'!D9</f>
        <v>1400</v>
      </c>
      <c r="E9" s="16">
        <f>'Lote 1'!E9</f>
        <v>1407</v>
      </c>
      <c r="F9" s="16">
        <f>'Lote 1'!F9</f>
        <v>1401</v>
      </c>
      <c r="G9" s="36">
        <f>'Lote 1'!G9</f>
        <v>1413</v>
      </c>
      <c r="H9" s="16">
        <f t="shared" si="0"/>
        <v>1406</v>
      </c>
      <c r="I9" s="37">
        <f t="shared" si="1"/>
        <v>5.4772255750516612</v>
      </c>
      <c r="K9" s="16">
        <v>100</v>
      </c>
      <c r="L9" s="38">
        <f t="shared" ref="L9:P9" si="13">1/C9</f>
        <v>7.0972320794889996E-4</v>
      </c>
      <c r="M9" s="39">
        <f t="shared" si="13"/>
        <v>7.1428571428571429E-4</v>
      </c>
      <c r="N9" s="39">
        <f t="shared" si="13"/>
        <v>7.1073205401563609E-4</v>
      </c>
      <c r="O9" s="39">
        <f t="shared" si="13"/>
        <v>7.1377587437544611E-4</v>
      </c>
      <c r="P9" s="39">
        <f t="shared" si="13"/>
        <v>7.0771408351026188E-4</v>
      </c>
      <c r="Q9" s="39">
        <f t="shared" si="3"/>
        <v>7.1124618682719164E-4</v>
      </c>
      <c r="S9" s="16">
        <v>100</v>
      </c>
      <c r="T9" s="44">
        <f t="shared" ref="T9:X9" si="14">(L9-$M$46)/$M$46</f>
        <v>9.1317719422758598E-2</v>
      </c>
      <c r="U9" s="43">
        <f t="shared" si="14"/>
        <v>9.8333333333333425E-2</v>
      </c>
      <c r="V9" s="43">
        <f t="shared" si="14"/>
        <v>9.2868988391376528E-2</v>
      </c>
      <c r="W9" s="43">
        <f t="shared" si="14"/>
        <v>9.7549369497977739E-2</v>
      </c>
      <c r="X9" s="45">
        <f t="shared" si="14"/>
        <v>8.8228355744279438E-2</v>
      </c>
      <c r="Y9" s="43">
        <f t="shared" si="6"/>
        <v>9.3659553277945146E-2</v>
      </c>
    </row>
    <row r="10" spans="1:25">
      <c r="A10" s="16">
        <v>6</v>
      </c>
      <c r="B10" s="16">
        <v>120</v>
      </c>
      <c r="C10" s="14">
        <f>'Lote 1'!C10</f>
        <v>1375</v>
      </c>
      <c r="D10" s="16">
        <f>'Lote 1'!D10</f>
        <v>1394</v>
      </c>
      <c r="E10" s="16">
        <f>'Lote 1'!E10</f>
        <v>1363</v>
      </c>
      <c r="F10" s="16">
        <f>'Lote 1'!F10</f>
        <v>1389</v>
      </c>
      <c r="G10" s="36">
        <f>'Lote 1'!G10</f>
        <v>1383</v>
      </c>
      <c r="H10" s="16">
        <f t="shared" si="0"/>
        <v>1381</v>
      </c>
      <c r="I10" s="37">
        <f t="shared" si="1"/>
        <v>12.214745187681975</v>
      </c>
      <c r="K10" s="16">
        <v>120</v>
      </c>
      <c r="L10" s="38">
        <f t="shared" ref="L10:P10" si="15">1/C10</f>
        <v>7.2727272727272723E-4</v>
      </c>
      <c r="M10" s="39">
        <f t="shared" si="15"/>
        <v>7.173601147776184E-4</v>
      </c>
      <c r="N10" s="39">
        <f t="shared" si="15"/>
        <v>7.3367571533382249E-4</v>
      </c>
      <c r="O10" s="39">
        <f t="shared" si="15"/>
        <v>7.1994240460763136E-4</v>
      </c>
      <c r="P10" s="39">
        <f t="shared" si="15"/>
        <v>7.2306579898770787E-4</v>
      </c>
      <c r="Q10" s="39">
        <f t="shared" si="3"/>
        <v>7.242633521959014E-4</v>
      </c>
      <c r="S10" s="16">
        <v>120</v>
      </c>
      <c r="T10" s="44">
        <f t="shared" ref="T10:X10" si="16">(L10-$M$46)/$M$46</f>
        <v>0.11830303030303033</v>
      </c>
      <c r="U10" s="43">
        <f t="shared" si="16"/>
        <v>0.10306073648971799</v>
      </c>
      <c r="V10" s="43">
        <f t="shared" si="16"/>
        <v>0.12814869161164114</v>
      </c>
      <c r="W10" s="43">
        <f t="shared" si="16"/>
        <v>0.10703143748500125</v>
      </c>
      <c r="X10" s="45">
        <f t="shared" si="16"/>
        <v>0.11183417691009889</v>
      </c>
      <c r="Y10" s="43">
        <f t="shared" si="6"/>
        <v>0.11367561455989791</v>
      </c>
    </row>
    <row r="11" spans="1:25">
      <c r="A11" s="16">
        <v>7</v>
      </c>
      <c r="B11" s="16">
        <v>140</v>
      </c>
      <c r="C11" s="14">
        <f>'Lote 1'!C11</f>
        <v>1357</v>
      </c>
      <c r="D11" s="16">
        <f>'Lote 1'!D11</f>
        <v>1353</v>
      </c>
      <c r="E11" s="16">
        <f>'Lote 1'!E11</f>
        <v>1333</v>
      </c>
      <c r="F11" s="16">
        <f>'Lote 1'!F11</f>
        <v>1353</v>
      </c>
      <c r="G11" s="36">
        <f>'Lote 1'!G11</f>
        <v>1343</v>
      </c>
      <c r="H11" s="16">
        <f t="shared" si="0"/>
        <v>1348</v>
      </c>
      <c r="I11" s="37">
        <f t="shared" si="1"/>
        <v>9.7570487341203744</v>
      </c>
      <c r="K11" s="16">
        <v>140</v>
      </c>
      <c r="L11" s="38">
        <f t="shared" ref="L11:P11" si="17">1/C11</f>
        <v>7.3691967575534268E-4</v>
      </c>
      <c r="M11" s="39">
        <f t="shared" si="17"/>
        <v>7.3909830007390983E-4</v>
      </c>
      <c r="N11" s="39">
        <f t="shared" si="17"/>
        <v>7.501875468867217E-4</v>
      </c>
      <c r="O11" s="39">
        <f t="shared" si="17"/>
        <v>7.3909830007390983E-4</v>
      </c>
      <c r="P11" s="39">
        <f t="shared" si="17"/>
        <v>7.4460163812360388E-4</v>
      </c>
      <c r="Q11" s="39">
        <f t="shared" si="3"/>
        <v>7.4198109218269752E-4</v>
      </c>
      <c r="S11" s="16">
        <v>140</v>
      </c>
      <c r="T11" s="44">
        <f t="shared" ref="T11:X11" si="18">(L11-$M$46)/$M$46</f>
        <v>0.13313682141979868</v>
      </c>
      <c r="U11" s="43">
        <f t="shared" si="18"/>
        <v>0.13648681941364879</v>
      </c>
      <c r="V11" s="43">
        <f t="shared" si="18"/>
        <v>0.15353838459614919</v>
      </c>
      <c r="W11" s="43">
        <f t="shared" si="18"/>
        <v>0.13648681941364879</v>
      </c>
      <c r="X11" s="45">
        <f t="shared" si="18"/>
        <v>0.14494911888806167</v>
      </c>
      <c r="Y11" s="43">
        <f t="shared" si="6"/>
        <v>0.14091959274626142</v>
      </c>
    </row>
    <row r="12" spans="1:25">
      <c r="A12" s="16">
        <v>8</v>
      </c>
      <c r="B12" s="16">
        <v>160</v>
      </c>
      <c r="C12" s="14">
        <f>'Lote 1'!C12</f>
        <v>1353</v>
      </c>
      <c r="D12" s="16">
        <f>'Lote 1'!D12</f>
        <v>1332</v>
      </c>
      <c r="E12" s="16">
        <f>'Lote 1'!E12</f>
        <v>1263</v>
      </c>
      <c r="F12" s="16">
        <f>'Lote 1'!F12</f>
        <v>1342</v>
      </c>
      <c r="G12" s="36">
        <f>'Lote 1'!G12</f>
        <v>1330</v>
      </c>
      <c r="H12" s="16">
        <f t="shared" si="0"/>
        <v>1324</v>
      </c>
      <c r="I12" s="37">
        <f t="shared" si="1"/>
        <v>35.305806887819458</v>
      </c>
      <c r="K12" s="16">
        <v>160</v>
      </c>
      <c r="L12" s="38">
        <f t="shared" ref="L12:P12" si="19">1/C12</f>
        <v>7.3909830007390983E-4</v>
      </c>
      <c r="M12" s="39">
        <f t="shared" si="19"/>
        <v>7.5075075075075074E-4</v>
      </c>
      <c r="N12" s="39">
        <f t="shared" si="19"/>
        <v>7.9176563737133805E-4</v>
      </c>
      <c r="O12" s="39">
        <f t="shared" si="19"/>
        <v>7.4515648286140089E-4</v>
      </c>
      <c r="P12" s="39">
        <f t="shared" si="19"/>
        <v>7.5187969924812035E-4</v>
      </c>
      <c r="Q12" s="39">
        <f t="shared" si="3"/>
        <v>7.5573017406110399E-4</v>
      </c>
      <c r="S12" s="16">
        <v>160</v>
      </c>
      <c r="T12" s="44">
        <f t="shared" ref="T12:X12" si="20">(L12-$M$46)/$M$46</f>
        <v>0.13648681941364879</v>
      </c>
      <c r="U12" s="43">
        <f t="shared" si="20"/>
        <v>0.1544044044044045</v>
      </c>
      <c r="V12" s="43">
        <f t="shared" si="20"/>
        <v>0.21747162839799425</v>
      </c>
      <c r="W12" s="43">
        <f t="shared" si="20"/>
        <v>0.14580228514654753</v>
      </c>
      <c r="X12" s="45">
        <f t="shared" si="20"/>
        <v>0.15614035087719316</v>
      </c>
      <c r="Y12" s="43">
        <f t="shared" si="6"/>
        <v>0.16206109764795767</v>
      </c>
    </row>
    <row r="13" spans="1:25">
      <c r="A13" s="16">
        <v>9</v>
      </c>
      <c r="B13" s="16">
        <v>180</v>
      </c>
      <c r="C13" s="46">
        <f>'Lote 1'!C13</f>
        <v>1295</v>
      </c>
      <c r="D13" s="47">
        <f>'Lote 1'!D13</f>
        <v>1301</v>
      </c>
      <c r="E13" s="47">
        <f>'Lote 1'!E13</f>
        <v>1287</v>
      </c>
      <c r="F13" s="47">
        <f>'Lote 1'!F13</f>
        <v>1299</v>
      </c>
      <c r="G13" s="48">
        <f>'Lote 1'!G13</f>
        <v>1324</v>
      </c>
      <c r="H13" s="16">
        <f t="shared" si="0"/>
        <v>1301</v>
      </c>
      <c r="I13" s="37">
        <f>_xlfn.STDEV.S(C12:G12)</f>
        <v>35.305806887819458</v>
      </c>
      <c r="K13" s="16">
        <v>180</v>
      </c>
      <c r="L13" s="38">
        <f t="shared" ref="L13:P13" si="21">1/C13</f>
        <v>7.722007722007722E-4</v>
      </c>
      <c r="M13" s="39">
        <f t="shared" si="21"/>
        <v>7.6863950807071484E-4</v>
      </c>
      <c r="N13" s="39">
        <f t="shared" si="21"/>
        <v>7.77000777000777E-4</v>
      </c>
      <c r="O13" s="39">
        <f t="shared" si="21"/>
        <v>7.6982294072363352E-4</v>
      </c>
      <c r="P13" s="39">
        <f t="shared" si="21"/>
        <v>7.5528700906344411E-4</v>
      </c>
      <c r="Q13" s="39">
        <f t="shared" si="3"/>
        <v>7.6859020141186829E-4</v>
      </c>
      <c r="S13" s="16">
        <v>180</v>
      </c>
      <c r="T13" s="44">
        <f t="shared" ref="T13:X13" si="22">(L13-$M$46)/$M$46</f>
        <v>0.18738738738738747</v>
      </c>
      <c r="U13" s="43">
        <f t="shared" si="22"/>
        <v>0.18191135024340263</v>
      </c>
      <c r="V13" s="43">
        <f t="shared" si="22"/>
        <v>0.19476819476819487</v>
      </c>
      <c r="W13" s="43">
        <f t="shared" si="22"/>
        <v>0.18373107518604057</v>
      </c>
      <c r="X13" s="45">
        <f t="shared" si="22"/>
        <v>0.16137965760322265</v>
      </c>
      <c r="Y13" s="49">
        <f t="shared" si="6"/>
        <v>0.18183553303764963</v>
      </c>
    </row>
    <row r="14" spans="1:25">
      <c r="A14" s="50" t="s">
        <v>9</v>
      </c>
      <c r="B14" s="51">
        <v>200</v>
      </c>
      <c r="C14" s="47">
        <f>'Lote 1'!C14</f>
        <v>1283</v>
      </c>
      <c r="D14" s="47">
        <f>'Lote 1'!D14</f>
        <v>1302</v>
      </c>
      <c r="E14" s="47">
        <f>'Lote 1'!E14</f>
        <v>1287</v>
      </c>
      <c r="F14" s="47">
        <f>'Lote 1'!F14</f>
        <v>1294</v>
      </c>
      <c r="G14" s="47">
        <f>'Lote 1'!G14</f>
        <v>1285</v>
      </c>
      <c r="H14" s="52">
        <f t="shared" si="0"/>
        <v>1290</v>
      </c>
      <c r="I14" s="53">
        <f>_xlfn.STDEV.S(C14:G14)</f>
        <v>7.7910204723129821</v>
      </c>
      <c r="K14" s="50">
        <v>200</v>
      </c>
      <c r="L14" s="54">
        <f t="shared" ref="L14:P14" si="23">1/C14</f>
        <v>7.7942322681215901E-4</v>
      </c>
      <c r="M14" s="55">
        <f t="shared" si="23"/>
        <v>7.6804915514592934E-4</v>
      </c>
      <c r="N14" s="55">
        <f t="shared" si="23"/>
        <v>7.77000777000777E-4</v>
      </c>
      <c r="O14" s="55">
        <f t="shared" si="23"/>
        <v>7.7279752704791343E-4</v>
      </c>
      <c r="P14" s="55">
        <f t="shared" si="23"/>
        <v>7.7821011673151756E-4</v>
      </c>
      <c r="Q14" s="56">
        <f t="shared" si="3"/>
        <v>7.7509616054765933E-4</v>
      </c>
      <c r="S14" s="50">
        <v>200</v>
      </c>
      <c r="T14" s="57">
        <f t="shared" ref="T14:X14" si="24">(L14-$M$46)/$M$46</f>
        <v>0.19849311509482995</v>
      </c>
      <c r="U14" s="58">
        <f t="shared" si="24"/>
        <v>0.18100358422939078</v>
      </c>
      <c r="V14" s="58">
        <f t="shared" si="24"/>
        <v>0.19476819476819487</v>
      </c>
      <c r="W14" s="58">
        <f t="shared" si="24"/>
        <v>0.18830499742400833</v>
      </c>
      <c r="X14" s="59">
        <f t="shared" si="24"/>
        <v>0.19662775616083028</v>
      </c>
      <c r="Y14" s="60">
        <f t="shared" si="6"/>
        <v>0.19183952953545083</v>
      </c>
    </row>
    <row r="15" spans="1:25">
      <c r="A15" s="16"/>
      <c r="Y15" s="16"/>
    </row>
    <row r="16" spans="1:25">
      <c r="A16" s="150" t="s">
        <v>16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2"/>
    </row>
    <row r="17" spans="1:25">
      <c r="A17" s="153" t="s">
        <v>11</v>
      </c>
      <c r="B17" s="154"/>
      <c r="C17" s="154"/>
      <c r="D17" s="154"/>
      <c r="E17" s="154"/>
      <c r="F17" s="154"/>
      <c r="G17" s="154"/>
      <c r="H17" s="154"/>
      <c r="I17" s="155"/>
      <c r="K17" s="156" t="s">
        <v>12</v>
      </c>
      <c r="L17" s="157"/>
      <c r="M17" s="157"/>
      <c r="N17" s="157"/>
      <c r="O17" s="157"/>
      <c r="P17" s="157"/>
      <c r="Q17" s="158"/>
      <c r="S17" s="156" t="s">
        <v>13</v>
      </c>
      <c r="T17" s="157"/>
      <c r="U17" s="157"/>
      <c r="V17" s="157"/>
      <c r="W17" s="157"/>
      <c r="X17" s="157"/>
      <c r="Y17" s="158"/>
    </row>
    <row r="18" spans="1:25">
      <c r="A18" s="23" t="s">
        <v>0</v>
      </c>
      <c r="B18" s="24" t="s">
        <v>14</v>
      </c>
      <c r="C18" s="25">
        <v>1</v>
      </c>
      <c r="D18" s="25">
        <v>2</v>
      </c>
      <c r="E18" s="25">
        <v>3</v>
      </c>
      <c r="F18" s="25">
        <v>4</v>
      </c>
      <c r="G18" s="25">
        <v>5</v>
      </c>
      <c r="H18" s="29" t="s">
        <v>3</v>
      </c>
      <c r="I18" s="61" t="s">
        <v>4</v>
      </c>
      <c r="K18" s="24" t="s">
        <v>14</v>
      </c>
      <c r="L18" s="25">
        <v>1</v>
      </c>
      <c r="M18" s="25">
        <v>2</v>
      </c>
      <c r="N18" s="25">
        <v>3</v>
      </c>
      <c r="O18" s="25">
        <v>4</v>
      </c>
      <c r="P18" s="25">
        <v>5</v>
      </c>
      <c r="Q18" s="26" t="s">
        <v>3</v>
      </c>
      <c r="S18" s="23" t="s">
        <v>14</v>
      </c>
      <c r="T18" s="28">
        <v>1</v>
      </c>
      <c r="U18" s="25">
        <v>2</v>
      </c>
      <c r="V18" s="25">
        <v>3</v>
      </c>
      <c r="W18" s="25">
        <v>4</v>
      </c>
      <c r="X18" s="25">
        <v>5</v>
      </c>
      <c r="Y18" s="29" t="s">
        <v>3</v>
      </c>
    </row>
    <row r="19" spans="1:25">
      <c r="A19" s="5" t="s">
        <v>15</v>
      </c>
      <c r="B19" s="5">
        <v>0</v>
      </c>
      <c r="C19" s="4">
        <f>'Lote 2'!C4</f>
        <v>1531</v>
      </c>
      <c r="D19" s="5">
        <f>'Lote 2'!D4</f>
        <v>1530</v>
      </c>
      <c r="E19" s="5">
        <f>'Lote 2'!E4</f>
        <v>1548</v>
      </c>
      <c r="F19" s="5">
        <f>'Lote 2'!F4</f>
        <v>1558</v>
      </c>
      <c r="G19" s="30">
        <f>'Lote 2'!G4</f>
        <v>1520</v>
      </c>
      <c r="H19" s="5">
        <f t="shared" ref="H19:H29" si="25">ROUND(AVERAGE(C19:G19),0)</f>
        <v>1537</v>
      </c>
      <c r="I19" s="31">
        <f t="shared" ref="I19:I29" si="26">_xlfn.STDEV.S(C19:G19)</f>
        <v>15.290519938837921</v>
      </c>
      <c r="K19" s="5">
        <v>0</v>
      </c>
      <c r="L19" s="4">
        <f t="shared" ref="L19:P19" si="27">1/C19</f>
        <v>6.5316786414108428E-4</v>
      </c>
      <c r="M19" s="5">
        <f t="shared" si="27"/>
        <v>6.5359477124183002E-4</v>
      </c>
      <c r="N19" s="5">
        <f t="shared" si="27"/>
        <v>6.459948320413437E-4</v>
      </c>
      <c r="O19" s="5">
        <f t="shared" si="27"/>
        <v>6.4184852374839533E-4</v>
      </c>
      <c r="P19" s="5">
        <f t="shared" si="27"/>
        <v>6.5789473684210525E-4</v>
      </c>
      <c r="Q19" s="5">
        <f t="shared" ref="Q19:Q29" si="28">AVERAGE(L19:P19)</f>
        <v>6.5050014560295172E-4</v>
      </c>
      <c r="S19" s="5">
        <v>0</v>
      </c>
      <c r="T19" s="4">
        <v>0</v>
      </c>
      <c r="U19" s="5">
        <v>0</v>
      </c>
      <c r="V19" s="5">
        <v>0</v>
      </c>
      <c r="W19" s="5">
        <v>0</v>
      </c>
      <c r="X19" s="5">
        <v>0</v>
      </c>
      <c r="Y19" s="35">
        <v>0</v>
      </c>
    </row>
    <row r="20" spans="1:25">
      <c r="A20" s="16">
        <v>1</v>
      </c>
      <c r="B20" s="16">
        <v>20</v>
      </c>
      <c r="C20" s="14">
        <f>'Lote 2'!C5</f>
        <v>0</v>
      </c>
      <c r="D20" s="16">
        <f>'Lote 2'!D5</f>
        <v>0</v>
      </c>
      <c r="E20" s="16">
        <f>'Lote 2'!E5</f>
        <v>0</v>
      </c>
      <c r="F20" s="16">
        <f>'Lote 2'!F5</f>
        <v>0</v>
      </c>
      <c r="G20" s="36">
        <f>'Lote 2'!G5</f>
        <v>0</v>
      </c>
      <c r="H20" s="16">
        <f t="shared" si="25"/>
        <v>0</v>
      </c>
      <c r="I20" s="37">
        <f t="shared" si="26"/>
        <v>0</v>
      </c>
      <c r="K20" s="16">
        <v>20</v>
      </c>
      <c r="L20" s="14" t="e">
        <f t="shared" ref="L20:P20" si="29">1/C20</f>
        <v>#DIV/0!</v>
      </c>
      <c r="M20" s="16" t="e">
        <f t="shared" si="29"/>
        <v>#DIV/0!</v>
      </c>
      <c r="N20" s="16" t="e">
        <f t="shared" si="29"/>
        <v>#DIV/0!</v>
      </c>
      <c r="O20" s="16" t="e">
        <f t="shared" si="29"/>
        <v>#DIV/0!</v>
      </c>
      <c r="P20" s="16" t="e">
        <f t="shared" si="29"/>
        <v>#DIV/0!</v>
      </c>
      <c r="Q20" s="16" t="e">
        <f t="shared" si="28"/>
        <v>#DIV/0!</v>
      </c>
      <c r="S20" s="16">
        <v>20</v>
      </c>
      <c r="T20" s="40" t="e">
        <f t="shared" ref="T20:X20" si="30">ABS((L20-$M$46)/$M$46)</f>
        <v>#DIV/0!</v>
      </c>
      <c r="U20" s="41" t="e">
        <f t="shared" si="30"/>
        <v>#DIV/0!</v>
      </c>
      <c r="V20" s="41" t="e">
        <f t="shared" si="30"/>
        <v>#DIV/0!</v>
      </c>
      <c r="W20" s="41" t="e">
        <f t="shared" si="30"/>
        <v>#DIV/0!</v>
      </c>
      <c r="X20" s="42" t="e">
        <f t="shared" si="30"/>
        <v>#DIV/0!</v>
      </c>
      <c r="Y20" s="43" t="e">
        <f t="shared" ref="Y20:Y29" si="31">AVERAGE(T20:X20)</f>
        <v>#DIV/0!</v>
      </c>
    </row>
    <row r="21" spans="1:25" ht="15.75" customHeight="1">
      <c r="A21" s="16">
        <v>2</v>
      </c>
      <c r="B21" s="16">
        <v>40</v>
      </c>
      <c r="C21" s="14">
        <f>'Lote 2'!C6</f>
        <v>0</v>
      </c>
      <c r="D21" s="16">
        <f>'Lote 2'!D6</f>
        <v>0</v>
      </c>
      <c r="E21" s="16">
        <f>'Lote 2'!E6</f>
        <v>0</v>
      </c>
      <c r="F21" s="16">
        <f>'Lote 2'!F6</f>
        <v>0</v>
      </c>
      <c r="G21" s="36">
        <f>'Lote 2'!G6</f>
        <v>0</v>
      </c>
      <c r="H21" s="16">
        <f t="shared" si="25"/>
        <v>0</v>
      </c>
      <c r="I21" s="37">
        <f t="shared" si="26"/>
        <v>0</v>
      </c>
      <c r="K21" s="16">
        <v>40</v>
      </c>
      <c r="L21" s="14" t="e">
        <f t="shared" ref="L21:P21" si="32">1/C21</f>
        <v>#DIV/0!</v>
      </c>
      <c r="M21" s="16" t="e">
        <f t="shared" si="32"/>
        <v>#DIV/0!</v>
      </c>
      <c r="N21" s="16" t="e">
        <f t="shared" si="32"/>
        <v>#DIV/0!</v>
      </c>
      <c r="O21" s="16" t="e">
        <f t="shared" si="32"/>
        <v>#DIV/0!</v>
      </c>
      <c r="P21" s="16" t="e">
        <f t="shared" si="32"/>
        <v>#DIV/0!</v>
      </c>
      <c r="Q21" s="16" t="e">
        <f t="shared" si="28"/>
        <v>#DIV/0!</v>
      </c>
      <c r="S21" s="16">
        <v>40</v>
      </c>
      <c r="T21" s="44" t="e">
        <f t="shared" ref="T21:X21" si="33">ABS((L21-$M$46)/$M$46)</f>
        <v>#DIV/0!</v>
      </c>
      <c r="U21" s="43" t="e">
        <f t="shared" si="33"/>
        <v>#DIV/0!</v>
      </c>
      <c r="V21" s="43" t="e">
        <f t="shared" si="33"/>
        <v>#DIV/0!</v>
      </c>
      <c r="W21" s="43" t="e">
        <f t="shared" si="33"/>
        <v>#DIV/0!</v>
      </c>
      <c r="X21" s="45" t="e">
        <f t="shared" si="33"/>
        <v>#DIV/0!</v>
      </c>
      <c r="Y21" s="43" t="e">
        <f t="shared" si="31"/>
        <v>#DIV/0!</v>
      </c>
    </row>
    <row r="22" spans="1:25" ht="15.75" customHeight="1">
      <c r="A22" s="16">
        <v>3</v>
      </c>
      <c r="B22" s="16">
        <v>60</v>
      </c>
      <c r="C22" s="14">
        <f>'Lote 2'!C7</f>
        <v>0</v>
      </c>
      <c r="D22" s="16">
        <f>'Lote 2'!D7</f>
        <v>0</v>
      </c>
      <c r="E22" s="16">
        <f>'Lote 2'!E7</f>
        <v>0</v>
      </c>
      <c r="F22" s="16">
        <f>'Lote 2'!F7</f>
        <v>0</v>
      </c>
      <c r="G22" s="36">
        <f>'Lote 2'!G7</f>
        <v>0</v>
      </c>
      <c r="H22" s="16">
        <f t="shared" si="25"/>
        <v>0</v>
      </c>
      <c r="I22" s="37">
        <f t="shared" si="26"/>
        <v>0</v>
      </c>
      <c r="K22" s="16">
        <v>60</v>
      </c>
      <c r="L22" s="14" t="e">
        <f t="shared" ref="L22:P22" si="34">1/C22</f>
        <v>#DIV/0!</v>
      </c>
      <c r="M22" s="16" t="e">
        <f t="shared" si="34"/>
        <v>#DIV/0!</v>
      </c>
      <c r="N22" s="16" t="e">
        <f t="shared" si="34"/>
        <v>#DIV/0!</v>
      </c>
      <c r="O22" s="16" t="e">
        <f t="shared" si="34"/>
        <v>#DIV/0!</v>
      </c>
      <c r="P22" s="16" t="e">
        <f t="shared" si="34"/>
        <v>#DIV/0!</v>
      </c>
      <c r="Q22" s="16" t="e">
        <f t="shared" si="28"/>
        <v>#DIV/0!</v>
      </c>
      <c r="S22" s="16">
        <v>60</v>
      </c>
      <c r="T22" s="44" t="e">
        <f t="shared" ref="T22:X22" si="35">ABS((L22-$M$46)/$M$46)</f>
        <v>#DIV/0!</v>
      </c>
      <c r="U22" s="43" t="e">
        <f t="shared" si="35"/>
        <v>#DIV/0!</v>
      </c>
      <c r="V22" s="43" t="e">
        <f t="shared" si="35"/>
        <v>#DIV/0!</v>
      </c>
      <c r="W22" s="43" t="e">
        <f t="shared" si="35"/>
        <v>#DIV/0!</v>
      </c>
      <c r="X22" s="45" t="e">
        <f t="shared" si="35"/>
        <v>#DIV/0!</v>
      </c>
      <c r="Y22" s="43" t="e">
        <f t="shared" si="31"/>
        <v>#DIV/0!</v>
      </c>
    </row>
    <row r="23" spans="1:25" ht="15.75" customHeight="1">
      <c r="A23" s="16">
        <v>4</v>
      </c>
      <c r="B23" s="16">
        <v>80</v>
      </c>
      <c r="C23" s="14">
        <f>'Lote 2'!C8</f>
        <v>0</v>
      </c>
      <c r="D23" s="16">
        <f>'Lote 2'!D8</f>
        <v>0</v>
      </c>
      <c r="E23" s="16">
        <f>'Lote 2'!E8</f>
        <v>0</v>
      </c>
      <c r="F23" s="16">
        <f>'Lote 2'!F8</f>
        <v>0</v>
      </c>
      <c r="G23" s="36">
        <f>'Lote 2'!G8</f>
        <v>0</v>
      </c>
      <c r="H23" s="16">
        <f t="shared" si="25"/>
        <v>0</v>
      </c>
      <c r="I23" s="37">
        <f t="shared" si="26"/>
        <v>0</v>
      </c>
      <c r="K23" s="16">
        <v>80</v>
      </c>
      <c r="L23" s="14" t="e">
        <f t="shared" ref="L23:P23" si="36">1/C23</f>
        <v>#DIV/0!</v>
      </c>
      <c r="M23" s="16" t="e">
        <f t="shared" si="36"/>
        <v>#DIV/0!</v>
      </c>
      <c r="N23" s="16" t="e">
        <f t="shared" si="36"/>
        <v>#DIV/0!</v>
      </c>
      <c r="O23" s="16" t="e">
        <f t="shared" si="36"/>
        <v>#DIV/0!</v>
      </c>
      <c r="P23" s="16" t="e">
        <f t="shared" si="36"/>
        <v>#DIV/0!</v>
      </c>
      <c r="Q23" s="16" t="e">
        <f t="shared" si="28"/>
        <v>#DIV/0!</v>
      </c>
      <c r="S23" s="16">
        <v>80</v>
      </c>
      <c r="T23" s="44" t="e">
        <f t="shared" ref="T23:X23" si="37">ABS((L23-$M$46)/$M$46)</f>
        <v>#DIV/0!</v>
      </c>
      <c r="U23" s="43" t="e">
        <f t="shared" si="37"/>
        <v>#DIV/0!</v>
      </c>
      <c r="V23" s="43" t="e">
        <f t="shared" si="37"/>
        <v>#DIV/0!</v>
      </c>
      <c r="W23" s="43" t="e">
        <f t="shared" si="37"/>
        <v>#DIV/0!</v>
      </c>
      <c r="X23" s="45" t="e">
        <f t="shared" si="37"/>
        <v>#DIV/0!</v>
      </c>
      <c r="Y23" s="43" t="e">
        <f t="shared" si="31"/>
        <v>#DIV/0!</v>
      </c>
    </row>
    <row r="24" spans="1:25" ht="15.75" customHeight="1">
      <c r="A24" s="16">
        <v>5</v>
      </c>
      <c r="B24" s="16">
        <v>100</v>
      </c>
      <c r="C24" s="14">
        <f>'Lote 2'!C9</f>
        <v>0</v>
      </c>
      <c r="D24" s="16">
        <f>'Lote 2'!D9</f>
        <v>0</v>
      </c>
      <c r="E24" s="16">
        <f>'Lote 2'!E9</f>
        <v>0</v>
      </c>
      <c r="F24" s="16">
        <f>'Lote 2'!F9</f>
        <v>0</v>
      </c>
      <c r="G24" s="36">
        <f>'Lote 2'!G9</f>
        <v>0</v>
      </c>
      <c r="H24" s="16">
        <f t="shared" si="25"/>
        <v>0</v>
      </c>
      <c r="I24" s="37">
        <f t="shared" si="26"/>
        <v>0</v>
      </c>
      <c r="K24" s="16">
        <v>100</v>
      </c>
      <c r="L24" s="14" t="e">
        <f t="shared" ref="L24:P24" si="38">1/C24</f>
        <v>#DIV/0!</v>
      </c>
      <c r="M24" s="16" t="e">
        <f t="shared" si="38"/>
        <v>#DIV/0!</v>
      </c>
      <c r="N24" s="16" t="e">
        <f t="shared" si="38"/>
        <v>#DIV/0!</v>
      </c>
      <c r="O24" s="16" t="e">
        <f t="shared" si="38"/>
        <v>#DIV/0!</v>
      </c>
      <c r="P24" s="16" t="e">
        <f t="shared" si="38"/>
        <v>#DIV/0!</v>
      </c>
      <c r="Q24" s="16" t="e">
        <f t="shared" si="28"/>
        <v>#DIV/0!</v>
      </c>
      <c r="S24" s="16">
        <v>100</v>
      </c>
      <c r="T24" s="44" t="e">
        <f t="shared" ref="T24:X24" si="39">ABS((L24-$M$46)/$M$46)</f>
        <v>#DIV/0!</v>
      </c>
      <c r="U24" s="43" t="e">
        <f t="shared" si="39"/>
        <v>#DIV/0!</v>
      </c>
      <c r="V24" s="43" t="e">
        <f t="shared" si="39"/>
        <v>#DIV/0!</v>
      </c>
      <c r="W24" s="43" t="e">
        <f t="shared" si="39"/>
        <v>#DIV/0!</v>
      </c>
      <c r="X24" s="45" t="e">
        <f t="shared" si="39"/>
        <v>#DIV/0!</v>
      </c>
      <c r="Y24" s="43" t="e">
        <f t="shared" si="31"/>
        <v>#DIV/0!</v>
      </c>
    </row>
    <row r="25" spans="1:25" ht="15.75" customHeight="1">
      <c r="A25" s="16">
        <v>6</v>
      </c>
      <c r="B25" s="16">
        <v>120</v>
      </c>
      <c r="C25" s="14">
        <f>'Lote 2'!C10</f>
        <v>0</v>
      </c>
      <c r="D25" s="16">
        <f>'Lote 2'!D10</f>
        <v>0</v>
      </c>
      <c r="E25" s="16">
        <f>'Lote 2'!E10</f>
        <v>0</v>
      </c>
      <c r="F25" s="16">
        <f>'Lote 2'!F10</f>
        <v>0</v>
      </c>
      <c r="G25" s="36">
        <f>'Lote 2'!G10</f>
        <v>0</v>
      </c>
      <c r="H25" s="16">
        <f t="shared" si="25"/>
        <v>0</v>
      </c>
      <c r="I25" s="37">
        <f t="shared" si="26"/>
        <v>0</v>
      </c>
      <c r="K25" s="16">
        <v>120</v>
      </c>
      <c r="L25" s="14" t="e">
        <f t="shared" ref="L25:P25" si="40">1/C25</f>
        <v>#DIV/0!</v>
      </c>
      <c r="M25" s="16" t="e">
        <f t="shared" si="40"/>
        <v>#DIV/0!</v>
      </c>
      <c r="N25" s="16" t="e">
        <f t="shared" si="40"/>
        <v>#DIV/0!</v>
      </c>
      <c r="O25" s="16" t="e">
        <f t="shared" si="40"/>
        <v>#DIV/0!</v>
      </c>
      <c r="P25" s="16" t="e">
        <f t="shared" si="40"/>
        <v>#DIV/0!</v>
      </c>
      <c r="Q25" s="16" t="e">
        <f t="shared" si="28"/>
        <v>#DIV/0!</v>
      </c>
      <c r="S25" s="16">
        <v>120</v>
      </c>
      <c r="T25" s="44" t="e">
        <f t="shared" ref="T25:X25" si="41">ABS((L25-$M$46)/$M$46)</f>
        <v>#DIV/0!</v>
      </c>
      <c r="U25" s="43" t="e">
        <f t="shared" si="41"/>
        <v>#DIV/0!</v>
      </c>
      <c r="V25" s="43" t="e">
        <f t="shared" si="41"/>
        <v>#DIV/0!</v>
      </c>
      <c r="W25" s="43" t="e">
        <f t="shared" si="41"/>
        <v>#DIV/0!</v>
      </c>
      <c r="X25" s="45" t="e">
        <f t="shared" si="41"/>
        <v>#DIV/0!</v>
      </c>
      <c r="Y25" s="43" t="e">
        <f t="shared" si="31"/>
        <v>#DIV/0!</v>
      </c>
    </row>
    <row r="26" spans="1:25" ht="15.75" customHeight="1">
      <c r="A26" s="16">
        <v>7</v>
      </c>
      <c r="B26" s="16">
        <v>140</v>
      </c>
      <c r="C26" s="14">
        <f>'Lote 2'!C11</f>
        <v>0</v>
      </c>
      <c r="D26" s="16">
        <f>'Lote 2'!D11</f>
        <v>0</v>
      </c>
      <c r="E26" s="16">
        <f>'Lote 2'!E11</f>
        <v>0</v>
      </c>
      <c r="F26" s="16">
        <f>'Lote 2'!F11</f>
        <v>0</v>
      </c>
      <c r="G26" s="36">
        <f>'Lote 2'!G11</f>
        <v>0</v>
      </c>
      <c r="H26" s="16">
        <f t="shared" si="25"/>
        <v>0</v>
      </c>
      <c r="I26" s="37">
        <f t="shared" si="26"/>
        <v>0</v>
      </c>
      <c r="K26" s="16">
        <v>140</v>
      </c>
      <c r="L26" s="14" t="e">
        <f t="shared" ref="L26:P26" si="42">1/C26</f>
        <v>#DIV/0!</v>
      </c>
      <c r="M26" s="16" t="e">
        <f t="shared" si="42"/>
        <v>#DIV/0!</v>
      </c>
      <c r="N26" s="16" t="e">
        <f t="shared" si="42"/>
        <v>#DIV/0!</v>
      </c>
      <c r="O26" s="16" t="e">
        <f t="shared" si="42"/>
        <v>#DIV/0!</v>
      </c>
      <c r="P26" s="16" t="e">
        <f t="shared" si="42"/>
        <v>#DIV/0!</v>
      </c>
      <c r="Q26" s="16" t="e">
        <f t="shared" si="28"/>
        <v>#DIV/0!</v>
      </c>
      <c r="S26" s="16">
        <v>140</v>
      </c>
      <c r="T26" s="44" t="e">
        <f t="shared" ref="T26:X26" si="43">ABS((L26-$M$46)/$M$46)</f>
        <v>#DIV/0!</v>
      </c>
      <c r="U26" s="43" t="e">
        <f t="shared" si="43"/>
        <v>#DIV/0!</v>
      </c>
      <c r="V26" s="43" t="e">
        <f t="shared" si="43"/>
        <v>#DIV/0!</v>
      </c>
      <c r="W26" s="43" t="e">
        <f t="shared" si="43"/>
        <v>#DIV/0!</v>
      </c>
      <c r="X26" s="45" t="e">
        <f t="shared" si="43"/>
        <v>#DIV/0!</v>
      </c>
      <c r="Y26" s="43" t="e">
        <f t="shared" si="31"/>
        <v>#DIV/0!</v>
      </c>
    </row>
    <row r="27" spans="1:25" ht="15.75" customHeight="1">
      <c r="A27" s="16">
        <v>8</v>
      </c>
      <c r="B27" s="16">
        <v>160</v>
      </c>
      <c r="C27" s="14">
        <f>'Lote 2'!C12</f>
        <v>0</v>
      </c>
      <c r="D27" s="16">
        <f>'Lote 2'!D12</f>
        <v>0</v>
      </c>
      <c r="E27" s="16">
        <f>'Lote 2'!E12</f>
        <v>0</v>
      </c>
      <c r="F27" s="16">
        <f>'Lote 2'!F12</f>
        <v>0</v>
      </c>
      <c r="G27" s="36">
        <f>'Lote 2'!G12</f>
        <v>0</v>
      </c>
      <c r="H27" s="16">
        <f t="shared" si="25"/>
        <v>0</v>
      </c>
      <c r="I27" s="37">
        <f t="shared" si="26"/>
        <v>0</v>
      </c>
      <c r="K27" s="16">
        <v>160</v>
      </c>
      <c r="L27" s="14" t="e">
        <f t="shared" ref="L27:P27" si="44">1/C27</f>
        <v>#DIV/0!</v>
      </c>
      <c r="M27" s="16" t="e">
        <f t="shared" si="44"/>
        <v>#DIV/0!</v>
      </c>
      <c r="N27" s="16" t="e">
        <f t="shared" si="44"/>
        <v>#DIV/0!</v>
      </c>
      <c r="O27" s="16" t="e">
        <f t="shared" si="44"/>
        <v>#DIV/0!</v>
      </c>
      <c r="P27" s="16" t="e">
        <f t="shared" si="44"/>
        <v>#DIV/0!</v>
      </c>
      <c r="Q27" s="16" t="e">
        <f t="shared" si="28"/>
        <v>#DIV/0!</v>
      </c>
      <c r="S27" s="16">
        <v>160</v>
      </c>
      <c r="T27" s="44" t="e">
        <f t="shared" ref="T27:X27" si="45">ABS((L27-$M$46)/$M$46)</f>
        <v>#DIV/0!</v>
      </c>
      <c r="U27" s="43" t="e">
        <f t="shared" si="45"/>
        <v>#DIV/0!</v>
      </c>
      <c r="V27" s="43" t="e">
        <f t="shared" si="45"/>
        <v>#DIV/0!</v>
      </c>
      <c r="W27" s="43" t="e">
        <f t="shared" si="45"/>
        <v>#DIV/0!</v>
      </c>
      <c r="X27" s="45" t="e">
        <f t="shared" si="45"/>
        <v>#DIV/0!</v>
      </c>
      <c r="Y27" s="43" t="e">
        <f t="shared" si="31"/>
        <v>#DIV/0!</v>
      </c>
    </row>
    <row r="28" spans="1:25" ht="15.75" customHeight="1">
      <c r="A28" s="16">
        <v>9</v>
      </c>
      <c r="B28" s="16">
        <v>180</v>
      </c>
      <c r="C28" s="14">
        <f>'Lote 2'!C13</f>
        <v>0</v>
      </c>
      <c r="D28" s="16">
        <f>'Lote 2'!D13</f>
        <v>0</v>
      </c>
      <c r="E28" s="16">
        <f>'Lote 2'!E13</f>
        <v>0</v>
      </c>
      <c r="F28" s="16">
        <f>'Lote 2'!F13</f>
        <v>0</v>
      </c>
      <c r="G28" s="36">
        <f>'Lote 2'!G13</f>
        <v>0</v>
      </c>
      <c r="H28" s="16">
        <f t="shared" si="25"/>
        <v>0</v>
      </c>
      <c r="I28" s="62">
        <f t="shared" si="26"/>
        <v>0</v>
      </c>
      <c r="K28" s="16">
        <v>180</v>
      </c>
      <c r="L28" s="14" t="e">
        <f t="shared" ref="L28:P28" si="46">1/C28</f>
        <v>#DIV/0!</v>
      </c>
      <c r="M28" s="16" t="e">
        <f t="shared" si="46"/>
        <v>#DIV/0!</v>
      </c>
      <c r="N28" s="16" t="e">
        <f t="shared" si="46"/>
        <v>#DIV/0!</v>
      </c>
      <c r="O28" s="16" t="e">
        <f t="shared" si="46"/>
        <v>#DIV/0!</v>
      </c>
      <c r="P28" s="16" t="e">
        <f t="shared" si="46"/>
        <v>#DIV/0!</v>
      </c>
      <c r="Q28" s="16" t="e">
        <f t="shared" si="28"/>
        <v>#DIV/0!</v>
      </c>
      <c r="S28" s="16">
        <v>180</v>
      </c>
      <c r="T28" s="44" t="e">
        <f t="shared" ref="T28:X28" si="47">ABS((L28-$M$46)/$M$46)</f>
        <v>#DIV/0!</v>
      </c>
      <c r="U28" s="43" t="e">
        <f t="shared" si="47"/>
        <v>#DIV/0!</v>
      </c>
      <c r="V28" s="43" t="e">
        <f t="shared" si="47"/>
        <v>#DIV/0!</v>
      </c>
      <c r="W28" s="43" t="e">
        <f t="shared" si="47"/>
        <v>#DIV/0!</v>
      </c>
      <c r="X28" s="45" t="e">
        <f t="shared" si="47"/>
        <v>#DIV/0!</v>
      </c>
      <c r="Y28" s="49" t="e">
        <f t="shared" si="31"/>
        <v>#DIV/0!</v>
      </c>
    </row>
    <row r="29" spans="1:25" ht="15.75" customHeight="1">
      <c r="A29" s="50" t="s">
        <v>9</v>
      </c>
      <c r="B29" s="50">
        <v>210</v>
      </c>
      <c r="C29" s="52">
        <f>'Lote 2'!C14</f>
        <v>1292</v>
      </c>
      <c r="D29" s="50">
        <f>'Lote 2'!D14</f>
        <v>1298</v>
      </c>
      <c r="E29" s="50">
        <f>'Lote 2'!E14</f>
        <v>1284</v>
      </c>
      <c r="F29" s="50">
        <f>'Lote 2'!F14</f>
        <v>1275</v>
      </c>
      <c r="G29" s="51">
        <f>'Lote 2'!G14</f>
        <v>1285</v>
      </c>
      <c r="H29" s="50">
        <f t="shared" si="25"/>
        <v>1287</v>
      </c>
      <c r="I29" s="53">
        <f t="shared" si="26"/>
        <v>8.7005746936624817</v>
      </c>
      <c r="K29" s="50">
        <v>210</v>
      </c>
      <c r="L29" s="52">
        <f t="shared" ref="L29:P29" si="48">1/C29</f>
        <v>7.7399380804953565E-4</v>
      </c>
      <c r="M29" s="50">
        <f t="shared" si="48"/>
        <v>7.7041602465331282E-4</v>
      </c>
      <c r="N29" s="50">
        <f t="shared" si="48"/>
        <v>7.7881619937694702E-4</v>
      </c>
      <c r="O29" s="50">
        <f t="shared" si="48"/>
        <v>7.8431372549019605E-4</v>
      </c>
      <c r="P29" s="50">
        <f t="shared" si="48"/>
        <v>7.7821011673151756E-4</v>
      </c>
      <c r="Q29" s="50">
        <f t="shared" si="28"/>
        <v>7.7714997486030195E-4</v>
      </c>
      <c r="S29" s="50">
        <v>210</v>
      </c>
      <c r="T29" s="57">
        <f t="shared" ref="T29:X29" si="49">ABS((L29-$M$46)/$M$46)</f>
        <v>0.19014447884416941</v>
      </c>
      <c r="U29" s="58">
        <f t="shared" si="49"/>
        <v>0.18464304057524411</v>
      </c>
      <c r="V29" s="58">
        <f t="shared" si="49"/>
        <v>0.19755970924195229</v>
      </c>
      <c r="W29" s="58">
        <f t="shared" si="49"/>
        <v>0.20601307189542489</v>
      </c>
      <c r="X29" s="59">
        <f t="shared" si="49"/>
        <v>0.19662775616083028</v>
      </c>
      <c r="Y29" s="49">
        <f t="shared" si="31"/>
        <v>0.1949976113435242</v>
      </c>
    </row>
    <row r="30" spans="1:25" ht="15.75" customHeight="1">
      <c r="A30" s="16"/>
      <c r="Y30" s="16"/>
    </row>
    <row r="31" spans="1:25" ht="15.75" customHeight="1">
      <c r="A31" s="150" t="s">
        <v>17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2"/>
    </row>
    <row r="32" spans="1:25" ht="15.75" customHeight="1">
      <c r="A32" s="153" t="s">
        <v>11</v>
      </c>
      <c r="B32" s="154"/>
      <c r="C32" s="154"/>
      <c r="D32" s="154"/>
      <c r="E32" s="154"/>
      <c r="F32" s="154"/>
      <c r="G32" s="154"/>
      <c r="H32" s="154"/>
      <c r="I32" s="155"/>
      <c r="J32" s="63"/>
      <c r="K32" s="156" t="s">
        <v>12</v>
      </c>
      <c r="L32" s="157"/>
      <c r="M32" s="157"/>
      <c r="N32" s="157"/>
      <c r="O32" s="157"/>
      <c r="P32" s="157"/>
      <c r="Q32" s="158"/>
      <c r="R32" s="63"/>
      <c r="S32" s="156" t="s">
        <v>13</v>
      </c>
      <c r="T32" s="157"/>
      <c r="U32" s="157"/>
      <c r="V32" s="157"/>
      <c r="W32" s="157"/>
      <c r="X32" s="157"/>
      <c r="Y32" s="158"/>
    </row>
    <row r="33" spans="1:25" ht="15.75" customHeight="1">
      <c r="A33" s="23" t="s">
        <v>0</v>
      </c>
      <c r="B33" s="24" t="s">
        <v>14</v>
      </c>
      <c r="C33" s="25">
        <v>1</v>
      </c>
      <c r="D33" s="25">
        <v>2</v>
      </c>
      <c r="E33" s="25">
        <v>3</v>
      </c>
      <c r="F33" s="25">
        <v>4</v>
      </c>
      <c r="G33" s="25">
        <v>5</v>
      </c>
      <c r="H33" s="29" t="s">
        <v>3</v>
      </c>
      <c r="I33" s="27" t="s">
        <v>4</v>
      </c>
      <c r="K33" s="24" t="s">
        <v>14</v>
      </c>
      <c r="L33" s="25">
        <v>1</v>
      </c>
      <c r="M33" s="25">
        <v>2</v>
      </c>
      <c r="N33" s="25">
        <v>3</v>
      </c>
      <c r="O33" s="25">
        <v>4</v>
      </c>
      <c r="P33" s="25">
        <v>5</v>
      </c>
      <c r="Q33" s="26" t="s">
        <v>3</v>
      </c>
      <c r="R33" s="16"/>
      <c r="S33" s="23" t="s">
        <v>14</v>
      </c>
      <c r="T33" s="28">
        <v>1</v>
      </c>
      <c r="U33" s="25">
        <v>2</v>
      </c>
      <c r="V33" s="25">
        <v>3</v>
      </c>
      <c r="W33" s="25">
        <v>4</v>
      </c>
      <c r="X33" s="25">
        <v>5</v>
      </c>
      <c r="Y33" s="29" t="s">
        <v>3</v>
      </c>
    </row>
    <row r="34" spans="1:25" ht="15.75" customHeight="1">
      <c r="A34" s="5" t="s">
        <v>15</v>
      </c>
      <c r="B34" s="5">
        <v>0</v>
      </c>
      <c r="C34" s="4">
        <f>'Lote 3'!C4</f>
        <v>1565</v>
      </c>
      <c r="D34" s="5">
        <f>'Lote 3'!D4</f>
        <v>1558</v>
      </c>
      <c r="E34" s="5">
        <f>'Lote 3'!E4</f>
        <v>1514</v>
      </c>
      <c r="F34" s="5">
        <f>'Lote 3'!F4</f>
        <v>1521</v>
      </c>
      <c r="G34" s="30">
        <f>'Lote 3'!G4</f>
        <v>1530</v>
      </c>
      <c r="H34" s="5">
        <f t="shared" ref="H34:H44" si="50">ROUND(AVERAGE(C34:G34),0)</f>
        <v>1538</v>
      </c>
      <c r="I34" s="31">
        <f t="shared" ref="I34:I42" si="51">_xlfn.STDEV.S(C34:G34)</f>
        <v>22.678183348760545</v>
      </c>
      <c r="K34" s="5">
        <v>0</v>
      </c>
      <c r="L34" s="4">
        <f t="shared" ref="L34:P34" si="52">1/C34</f>
        <v>6.3897763578274762E-4</v>
      </c>
      <c r="M34" s="5">
        <f t="shared" si="52"/>
        <v>6.4184852374839533E-4</v>
      </c>
      <c r="N34" s="5">
        <f t="shared" si="52"/>
        <v>6.6050198150594452E-4</v>
      </c>
      <c r="O34" s="5">
        <f t="shared" si="52"/>
        <v>6.5746219592373442E-4</v>
      </c>
      <c r="P34" s="5">
        <f t="shared" si="52"/>
        <v>6.5359477124183002E-4</v>
      </c>
      <c r="Q34" s="5">
        <f t="shared" ref="Q34:Q44" si="53">AVERAGE(L34:P34)</f>
        <v>6.504770216405303E-4</v>
      </c>
      <c r="R34" s="16"/>
      <c r="S34" s="5">
        <v>0</v>
      </c>
      <c r="T34" s="4">
        <v>0</v>
      </c>
      <c r="U34" s="5">
        <v>0</v>
      </c>
      <c r="V34" s="5">
        <v>0</v>
      </c>
      <c r="W34" s="5">
        <v>0</v>
      </c>
      <c r="X34" s="5">
        <v>0</v>
      </c>
      <c r="Y34" s="35">
        <v>0</v>
      </c>
    </row>
    <row r="35" spans="1:25" ht="15.75" customHeight="1">
      <c r="A35" s="16">
        <v>1</v>
      </c>
      <c r="B35" s="16">
        <v>20</v>
      </c>
      <c r="C35" s="14">
        <f>'Lote 3'!C5</f>
        <v>1545</v>
      </c>
      <c r="D35" s="16">
        <f>'Lote 3'!D5</f>
        <v>1521</v>
      </c>
      <c r="E35" s="16">
        <f>'Lote 3'!E5</f>
        <v>1553</v>
      </c>
      <c r="F35" s="16">
        <f>'Lote 3'!F5</f>
        <v>1514</v>
      </c>
      <c r="G35" s="36">
        <f>'Lote 3'!G5</f>
        <v>1506</v>
      </c>
      <c r="H35" s="16">
        <f t="shared" si="50"/>
        <v>1528</v>
      </c>
      <c r="I35" s="37">
        <f t="shared" si="51"/>
        <v>20.265734627691145</v>
      </c>
      <c r="K35" s="16">
        <v>20</v>
      </c>
      <c r="L35" s="14">
        <f t="shared" ref="L35:P35" si="54">1/C35</f>
        <v>6.4724919093851134E-4</v>
      </c>
      <c r="M35" s="16">
        <f t="shared" si="54"/>
        <v>6.5746219592373442E-4</v>
      </c>
      <c r="N35" s="16">
        <f t="shared" si="54"/>
        <v>6.43915003219575E-4</v>
      </c>
      <c r="O35" s="16">
        <f t="shared" si="54"/>
        <v>6.6050198150594452E-4</v>
      </c>
      <c r="P35" s="16">
        <f t="shared" si="54"/>
        <v>6.6401062416998667E-4</v>
      </c>
      <c r="Q35" s="16">
        <f t="shared" si="53"/>
        <v>6.5462779915155035E-4</v>
      </c>
      <c r="R35" s="16"/>
      <c r="S35" s="16">
        <v>20</v>
      </c>
      <c r="T35" s="40">
        <f t="shared" ref="T35:X35" si="55">(L35-$M$46)/$M$46</f>
        <v>-4.7464940668823169E-3</v>
      </c>
      <c r="U35" s="41">
        <f t="shared" si="55"/>
        <v>1.095770326539571E-2</v>
      </c>
      <c r="V35" s="41">
        <f t="shared" si="55"/>
        <v>-9.8733633827000882E-3</v>
      </c>
      <c r="W35" s="41">
        <f t="shared" si="55"/>
        <v>1.5631880228974115E-2</v>
      </c>
      <c r="X35" s="42">
        <f t="shared" si="55"/>
        <v>2.102700309871626E-2</v>
      </c>
      <c r="Y35" s="43">
        <f t="shared" ref="Y35:Y44" si="56">AVERAGE(T35:X35)</f>
        <v>6.5993458287007369E-3</v>
      </c>
    </row>
    <row r="36" spans="1:25" ht="15.75" customHeight="1">
      <c r="A36" s="16">
        <v>2</v>
      </c>
      <c r="B36" s="16">
        <v>40</v>
      </c>
      <c r="C36" s="14">
        <f>'Lote 3'!C6</f>
        <v>1498</v>
      </c>
      <c r="D36" s="16">
        <f>'Lote 3'!D6</f>
        <v>1442</v>
      </c>
      <c r="E36" s="16">
        <f>'Lote 3'!E6</f>
        <v>1533</v>
      </c>
      <c r="F36" s="16">
        <f>'Lote 3'!F6</f>
        <v>1535</v>
      </c>
      <c r="G36" s="36">
        <f>'Lote 3'!G6</f>
        <v>1484</v>
      </c>
      <c r="H36" s="16">
        <f t="shared" si="50"/>
        <v>1498</v>
      </c>
      <c r="I36" s="37">
        <f t="shared" si="51"/>
        <v>38.487660360172583</v>
      </c>
      <c r="K36" s="16">
        <v>40</v>
      </c>
      <c r="L36" s="14">
        <f t="shared" ref="L36:P36" si="57">1/C36</f>
        <v>6.6755674232309744E-4</v>
      </c>
      <c r="M36" s="16">
        <f t="shared" si="57"/>
        <v>6.9348127600554787E-4</v>
      </c>
      <c r="N36" s="16">
        <f t="shared" si="57"/>
        <v>6.5231572080887146E-4</v>
      </c>
      <c r="O36" s="16">
        <f t="shared" si="57"/>
        <v>6.5146579804560263E-4</v>
      </c>
      <c r="P36" s="16">
        <f t="shared" si="57"/>
        <v>6.7385444743935314E-4</v>
      </c>
      <c r="Q36" s="16">
        <f t="shared" si="53"/>
        <v>6.6773479692449451E-4</v>
      </c>
      <c r="R36" s="16"/>
      <c r="S36" s="16">
        <v>40</v>
      </c>
      <c r="T36" s="44">
        <f t="shared" ref="T36:X36" si="58">(L36-$M$46)/$M$46</f>
        <v>2.6479750778816258E-2</v>
      </c>
      <c r="U36" s="43">
        <f t="shared" si="58"/>
        <v>6.6343042071197525E-2</v>
      </c>
      <c r="V36" s="43">
        <f t="shared" si="58"/>
        <v>3.0441400304414309E-3</v>
      </c>
      <c r="W36" s="43">
        <f t="shared" si="58"/>
        <v>1.737242128121738E-3</v>
      </c>
      <c r="X36" s="45">
        <f t="shared" si="58"/>
        <v>3.6163522012578761E-2</v>
      </c>
      <c r="Y36" s="43">
        <f t="shared" si="56"/>
        <v>2.6753539404231141E-2</v>
      </c>
    </row>
    <row r="37" spans="1:25" ht="15.75" customHeight="1">
      <c r="A37" s="16">
        <v>3</v>
      </c>
      <c r="B37" s="16">
        <v>60</v>
      </c>
      <c r="C37" s="14">
        <f>'Lote 3'!C7</f>
        <v>1474</v>
      </c>
      <c r="D37" s="16">
        <f>'Lote 3'!D7</f>
        <v>1526</v>
      </c>
      <c r="E37" s="16">
        <f>'Lote 3'!E7</f>
        <v>1416</v>
      </c>
      <c r="F37" s="16">
        <f>'Lote 3'!F7</f>
        <v>1500</v>
      </c>
      <c r="G37" s="36">
        <f>'Lote 3'!G7</f>
        <v>1480</v>
      </c>
      <c r="H37" s="16">
        <f t="shared" si="50"/>
        <v>1479</v>
      </c>
      <c r="I37" s="37">
        <f t="shared" si="51"/>
        <v>40.757821335297109</v>
      </c>
      <c r="K37" s="16">
        <v>60</v>
      </c>
      <c r="L37" s="14">
        <f t="shared" ref="L37:P37" si="59">1/C37</f>
        <v>6.7842605156037987E-4</v>
      </c>
      <c r="M37" s="16">
        <f t="shared" si="59"/>
        <v>6.5530799475753605E-4</v>
      </c>
      <c r="N37" s="16">
        <f t="shared" si="59"/>
        <v>7.0621468926553672E-4</v>
      </c>
      <c r="O37" s="16">
        <f t="shared" si="59"/>
        <v>6.6666666666666664E-4</v>
      </c>
      <c r="P37" s="16">
        <f t="shared" si="59"/>
        <v>6.7567567567567571E-4</v>
      </c>
      <c r="Q37" s="16">
        <f t="shared" si="53"/>
        <v>6.7645821558515889E-4</v>
      </c>
      <c r="R37" s="16"/>
      <c r="S37" s="16">
        <v>60</v>
      </c>
      <c r="T37" s="44">
        <f t="shared" ref="T37:X37" si="60">(L37-$M$46)/$M$46</f>
        <v>4.3193125282677533E-2</v>
      </c>
      <c r="U37" s="43">
        <f t="shared" si="60"/>
        <v>7.6452599388380157E-3</v>
      </c>
      <c r="V37" s="43">
        <f t="shared" si="60"/>
        <v>8.5922787193973726E-2</v>
      </c>
      <c r="W37" s="43">
        <f t="shared" si="60"/>
        <v>2.5111111111111164E-2</v>
      </c>
      <c r="X37" s="45">
        <f t="shared" si="60"/>
        <v>3.8963963963964114E-2</v>
      </c>
      <c r="Y37" s="43">
        <f t="shared" si="56"/>
        <v>4.0167249498112914E-2</v>
      </c>
    </row>
    <row r="38" spans="1:25" ht="15.75" customHeight="1">
      <c r="A38" s="16">
        <v>4</v>
      </c>
      <c r="B38" s="16">
        <v>80</v>
      </c>
      <c r="C38" s="14">
        <f>'Lote 3'!C8</f>
        <v>1417</v>
      </c>
      <c r="D38" s="16">
        <f>'Lote 3'!D8</f>
        <v>1400</v>
      </c>
      <c r="E38" s="16">
        <f>'Lote 3'!E8</f>
        <v>1518</v>
      </c>
      <c r="F38" s="16">
        <f>'Lote 3'!F8</f>
        <v>1464</v>
      </c>
      <c r="G38" s="36">
        <f>'Lote 3'!G8</f>
        <v>1465</v>
      </c>
      <c r="H38" s="16">
        <f t="shared" si="50"/>
        <v>1453</v>
      </c>
      <c r="I38" s="37">
        <f t="shared" si="51"/>
        <v>46.354072097281815</v>
      </c>
      <c r="K38" s="16">
        <v>80</v>
      </c>
      <c r="L38" s="14">
        <f t="shared" ref="L38:P38" si="61">1/C38</f>
        <v>7.0571630204657732E-4</v>
      </c>
      <c r="M38" s="16">
        <f t="shared" si="61"/>
        <v>7.1428571428571429E-4</v>
      </c>
      <c r="N38" s="16">
        <f t="shared" si="61"/>
        <v>6.5876152832674575E-4</v>
      </c>
      <c r="O38" s="16">
        <f t="shared" si="61"/>
        <v>6.8306010928961749E-4</v>
      </c>
      <c r="P38" s="16">
        <f t="shared" si="61"/>
        <v>6.8259385665529011E-4</v>
      </c>
      <c r="Q38" s="16">
        <f t="shared" si="53"/>
        <v>6.8888350212078901E-4</v>
      </c>
      <c r="R38" s="16"/>
      <c r="S38" s="16">
        <v>80</v>
      </c>
      <c r="T38" s="44">
        <f t="shared" ref="T38:X38" si="62">(L38-$M$46)/$M$46</f>
        <v>8.5156433780287144E-2</v>
      </c>
      <c r="U38" s="43">
        <f t="shared" si="62"/>
        <v>9.8333333333333425E-2</v>
      </c>
      <c r="V38" s="43">
        <f t="shared" si="62"/>
        <v>1.2955643390426128E-2</v>
      </c>
      <c r="W38" s="43">
        <f t="shared" si="62"/>
        <v>5.0318761384335248E-2</v>
      </c>
      <c r="X38" s="45">
        <f t="shared" si="62"/>
        <v>4.9601820250284513E-2</v>
      </c>
      <c r="Y38" s="43">
        <f t="shared" si="56"/>
        <v>5.9273198427733299E-2</v>
      </c>
    </row>
    <row r="39" spans="1:25" ht="15.75" customHeight="1">
      <c r="A39" s="16">
        <v>5</v>
      </c>
      <c r="B39" s="16">
        <v>100</v>
      </c>
      <c r="C39" s="14">
        <f>'Lote 3'!C9</f>
        <v>1432</v>
      </c>
      <c r="D39" s="16">
        <f>'Lote 3'!D9</f>
        <v>1407</v>
      </c>
      <c r="E39" s="16">
        <f>'Lote 3'!E9</f>
        <v>1414</v>
      </c>
      <c r="F39" s="16">
        <f>'Lote 3'!F9</f>
        <v>1451</v>
      </c>
      <c r="G39" s="36">
        <f>'Lote 3'!G9</f>
        <v>1445</v>
      </c>
      <c r="H39" s="16">
        <f t="shared" si="50"/>
        <v>1430</v>
      </c>
      <c r="I39" s="37">
        <f t="shared" si="51"/>
        <v>19.070920271449932</v>
      </c>
      <c r="K39" s="16">
        <v>100</v>
      </c>
      <c r="L39" s="14">
        <f t="shared" ref="L39:P39" si="63">1/C39</f>
        <v>6.9832402234636874E-4</v>
      </c>
      <c r="M39" s="16">
        <f t="shared" si="63"/>
        <v>7.1073205401563609E-4</v>
      </c>
      <c r="N39" s="16">
        <f t="shared" si="63"/>
        <v>7.0721357850070724E-4</v>
      </c>
      <c r="O39" s="16">
        <f t="shared" si="63"/>
        <v>6.8917987594762232E-4</v>
      </c>
      <c r="P39" s="16">
        <f t="shared" si="63"/>
        <v>6.9204152249134946E-4</v>
      </c>
      <c r="Q39" s="16">
        <f t="shared" si="53"/>
        <v>6.9949821066033683E-4</v>
      </c>
      <c r="R39" s="16"/>
      <c r="S39" s="16">
        <v>100</v>
      </c>
      <c r="T39" s="44">
        <f t="shared" ref="T39:X39" si="64">(L39-$M$46)/$M$46</f>
        <v>7.3789571694599751E-2</v>
      </c>
      <c r="U39" s="43">
        <f t="shared" si="64"/>
        <v>9.2868988391376528E-2</v>
      </c>
      <c r="V39" s="43">
        <f t="shared" si="64"/>
        <v>8.7458745874587587E-2</v>
      </c>
      <c r="W39" s="43">
        <f t="shared" si="64"/>
        <v>5.972892258212735E-2</v>
      </c>
      <c r="X39" s="45">
        <f t="shared" si="64"/>
        <v>6.4129181084198447E-2</v>
      </c>
      <c r="Y39" s="43">
        <f t="shared" si="56"/>
        <v>7.5595081925377935E-2</v>
      </c>
    </row>
    <row r="40" spans="1:25" ht="15.75" customHeight="1">
      <c r="A40" s="16">
        <v>6</v>
      </c>
      <c r="B40" s="16">
        <v>120</v>
      </c>
      <c r="C40" s="14">
        <f>'Lote 3'!C10</f>
        <v>1428</v>
      </c>
      <c r="D40" s="16">
        <f>'Lote 3'!D10</f>
        <v>1361</v>
      </c>
      <c r="E40" s="16">
        <f>'Lote 3'!E10</f>
        <v>1428</v>
      </c>
      <c r="F40" s="16">
        <f>'Lote 3'!F10</f>
        <v>1443</v>
      </c>
      <c r="G40" s="36">
        <f>'Lote 3'!G10</f>
        <v>1422</v>
      </c>
      <c r="H40" s="16">
        <f t="shared" si="50"/>
        <v>1416</v>
      </c>
      <c r="I40" s="37">
        <f t="shared" si="51"/>
        <v>31.926478039395448</v>
      </c>
      <c r="K40" s="16">
        <v>120</v>
      </c>
      <c r="L40" s="14">
        <f t="shared" ref="L40:P40" si="65">1/C40</f>
        <v>7.0028011204481793E-4</v>
      </c>
      <c r="M40" s="16">
        <f t="shared" si="65"/>
        <v>7.347538574577516E-4</v>
      </c>
      <c r="N40" s="16">
        <f t="shared" si="65"/>
        <v>7.0028011204481793E-4</v>
      </c>
      <c r="O40" s="16">
        <f t="shared" si="65"/>
        <v>6.93000693000693E-4</v>
      </c>
      <c r="P40" s="16">
        <f t="shared" si="65"/>
        <v>7.0323488045007034E-4</v>
      </c>
      <c r="Q40" s="16">
        <f t="shared" si="53"/>
        <v>7.0630993099963005E-4</v>
      </c>
      <c r="R40" s="16"/>
      <c r="S40" s="16">
        <v>120</v>
      </c>
      <c r="T40" s="44">
        <f t="shared" ref="T40:X40" si="66">(L40-$M$46)/$M$46</f>
        <v>7.6797385620915135E-2</v>
      </c>
      <c r="U40" s="43">
        <f t="shared" si="66"/>
        <v>0.12980651481753613</v>
      </c>
      <c r="V40" s="43">
        <f t="shared" si="66"/>
        <v>7.6797385620915135E-2</v>
      </c>
      <c r="W40" s="43">
        <f t="shared" si="66"/>
        <v>6.5604065604065703E-2</v>
      </c>
      <c r="X40" s="45">
        <f t="shared" si="66"/>
        <v>8.1340834505391577E-2</v>
      </c>
      <c r="Y40" s="43">
        <f t="shared" si="56"/>
        <v>8.606923723376475E-2</v>
      </c>
    </row>
    <row r="41" spans="1:25" ht="15.75" customHeight="1">
      <c r="A41" s="16">
        <v>7</v>
      </c>
      <c r="B41" s="16">
        <v>140</v>
      </c>
      <c r="C41" s="14">
        <f>'Lote 3'!C11</f>
        <v>1362</v>
      </c>
      <c r="D41" s="16">
        <f>'Lote 3'!D11</f>
        <v>1328</v>
      </c>
      <c r="E41" s="16">
        <f>'Lote 3'!E11</f>
        <v>1402</v>
      </c>
      <c r="F41" s="16">
        <f>'Lote 3'!F11</f>
        <v>1398</v>
      </c>
      <c r="G41" s="36">
        <f>'Lote 3'!G11</f>
        <v>1399</v>
      </c>
      <c r="H41" s="16">
        <f t="shared" si="50"/>
        <v>1378</v>
      </c>
      <c r="I41" s="37">
        <f t="shared" si="51"/>
        <v>32.298606781098158</v>
      </c>
      <c r="K41" s="16">
        <v>140</v>
      </c>
      <c r="L41" s="14">
        <f t="shared" ref="L41:P41" si="67">1/C41</f>
        <v>7.3421439060205576E-4</v>
      </c>
      <c r="M41" s="16">
        <f t="shared" si="67"/>
        <v>7.5301204819277112E-4</v>
      </c>
      <c r="N41" s="16">
        <f t="shared" si="67"/>
        <v>7.1326676176890159E-4</v>
      </c>
      <c r="O41" s="16">
        <f t="shared" si="67"/>
        <v>7.1530758226037196E-4</v>
      </c>
      <c r="P41" s="16">
        <f t="shared" si="67"/>
        <v>7.1479628305932811E-4</v>
      </c>
      <c r="Q41" s="16">
        <f t="shared" si="53"/>
        <v>7.2611941317668569E-4</v>
      </c>
      <c r="S41" s="16">
        <v>140</v>
      </c>
      <c r="T41" s="44">
        <f t="shared" ref="T41:X41" si="68">(L41-$M$46)/$M$46</f>
        <v>0.12897699461576118</v>
      </c>
      <c r="U41" s="43">
        <f t="shared" si="68"/>
        <v>0.15788152610441783</v>
      </c>
      <c r="V41" s="43">
        <f t="shared" si="68"/>
        <v>9.6766524013314439E-2</v>
      </c>
      <c r="W41" s="43">
        <f t="shared" si="68"/>
        <v>9.9904625655698714E-2</v>
      </c>
      <c r="X41" s="45">
        <f t="shared" si="68"/>
        <v>9.9118417917560292E-2</v>
      </c>
      <c r="Y41" s="43">
        <f t="shared" si="56"/>
        <v>0.11652961766135048</v>
      </c>
    </row>
    <row r="42" spans="1:25" ht="15.75" customHeight="1">
      <c r="A42" s="16">
        <v>8</v>
      </c>
      <c r="B42" s="16">
        <v>160</v>
      </c>
      <c r="C42" s="14">
        <f>'Lote 3'!C12</f>
        <v>1322</v>
      </c>
      <c r="D42" s="16">
        <f>'Lote 3'!D12</f>
        <v>1292</v>
      </c>
      <c r="E42" s="16">
        <f>'Lote 3'!E12</f>
        <v>1379</v>
      </c>
      <c r="F42" s="16">
        <f>'Lote 3'!F12</f>
        <v>1365</v>
      </c>
      <c r="G42" s="36">
        <f>'Lote 3'!G12</f>
        <v>1343</v>
      </c>
      <c r="H42" s="16">
        <f t="shared" si="50"/>
        <v>1340</v>
      </c>
      <c r="I42" s="37">
        <f t="shared" si="51"/>
        <v>34.578895297565538</v>
      </c>
      <c r="K42" s="16">
        <v>160</v>
      </c>
      <c r="L42" s="14">
        <f t="shared" ref="L42:P42" si="69">1/C42</f>
        <v>7.5642965204236008E-4</v>
      </c>
      <c r="M42" s="16">
        <f t="shared" si="69"/>
        <v>7.7399380804953565E-4</v>
      </c>
      <c r="N42" s="16">
        <f t="shared" si="69"/>
        <v>7.2516316171138508E-4</v>
      </c>
      <c r="O42" s="16">
        <f t="shared" si="69"/>
        <v>7.326007326007326E-4</v>
      </c>
      <c r="P42" s="16">
        <f t="shared" si="69"/>
        <v>7.4460163812360388E-4</v>
      </c>
      <c r="Q42" s="16">
        <f t="shared" si="53"/>
        <v>7.4655779850552344E-4</v>
      </c>
      <c r="S42" s="16">
        <v>160</v>
      </c>
      <c r="T42" s="44">
        <f t="shared" ref="T42:X42" si="70">(L42-$M$46)/$M$46</f>
        <v>0.16313666162380244</v>
      </c>
      <c r="U42" s="43">
        <f t="shared" si="70"/>
        <v>0.19014447884416941</v>
      </c>
      <c r="V42" s="43">
        <f t="shared" si="70"/>
        <v>0.11505922165820656</v>
      </c>
      <c r="W42" s="43">
        <f t="shared" si="70"/>
        <v>0.1264957264957266</v>
      </c>
      <c r="X42" s="45">
        <f t="shared" si="70"/>
        <v>0.14494911888806167</v>
      </c>
      <c r="Y42" s="43">
        <f t="shared" si="56"/>
        <v>0.14795704150199335</v>
      </c>
    </row>
    <row r="43" spans="1:25" ht="15.75" customHeight="1">
      <c r="A43" s="16">
        <v>9</v>
      </c>
      <c r="B43" s="16">
        <v>180</v>
      </c>
      <c r="C43" s="14">
        <f>'Lote 3'!C13</f>
        <v>1285</v>
      </c>
      <c r="D43" s="16">
        <f>'Lote 3'!D13</f>
        <v>1221</v>
      </c>
      <c r="E43" s="16">
        <f>'Lote 3'!E13</f>
        <v>1327</v>
      </c>
      <c r="F43" s="16">
        <f>'Lote 3'!F13</f>
        <v>1338</v>
      </c>
      <c r="G43" s="36">
        <f>'Lote 3'!G13</f>
        <v>1363</v>
      </c>
      <c r="H43" s="16">
        <f t="shared" si="50"/>
        <v>1307</v>
      </c>
      <c r="I43" s="37">
        <f>_xlfn.STDEV.S(C42:G42)</f>
        <v>34.578895297565538</v>
      </c>
      <c r="K43" s="16">
        <v>180</v>
      </c>
      <c r="L43" s="14">
        <f t="shared" ref="L43:P43" si="71">1/C43</f>
        <v>7.7821011673151756E-4</v>
      </c>
      <c r="M43" s="16">
        <f t="shared" si="71"/>
        <v>8.1900081900081905E-4</v>
      </c>
      <c r="N43" s="16">
        <f t="shared" si="71"/>
        <v>7.5357950263752827E-4</v>
      </c>
      <c r="O43" s="16">
        <f t="shared" si="71"/>
        <v>7.4738415545590436E-4</v>
      </c>
      <c r="P43" s="16">
        <f t="shared" si="71"/>
        <v>7.3367571533382249E-4</v>
      </c>
      <c r="Q43" s="16">
        <f t="shared" si="53"/>
        <v>7.6637006183191843E-4</v>
      </c>
      <c r="S43" s="16">
        <v>180</v>
      </c>
      <c r="T43" s="44">
        <f t="shared" ref="T43:X43" si="72">(L43-$M$46)/$M$46</f>
        <v>0.19662775616083028</v>
      </c>
      <c r="U43" s="43">
        <f t="shared" si="72"/>
        <v>0.25935025935025952</v>
      </c>
      <c r="V43" s="43">
        <f t="shared" si="72"/>
        <v>0.15875408188897272</v>
      </c>
      <c r="W43" s="43">
        <f t="shared" si="72"/>
        <v>0.14922770303936236</v>
      </c>
      <c r="X43" s="45">
        <f t="shared" si="72"/>
        <v>0.12814869161164114</v>
      </c>
      <c r="Y43" s="49">
        <f t="shared" si="56"/>
        <v>0.17842169841021321</v>
      </c>
    </row>
    <row r="44" spans="1:25" ht="15.75" customHeight="1">
      <c r="A44" s="50" t="s">
        <v>9</v>
      </c>
      <c r="B44" s="50">
        <v>210</v>
      </c>
      <c r="C44" s="52">
        <f>'Lote 3'!C14</f>
        <v>1403</v>
      </c>
      <c r="D44" s="50">
        <f>'Lote 3'!D14</f>
        <v>1402</v>
      </c>
      <c r="E44" s="50">
        <f>'Lote 3'!E14</f>
        <v>1365</v>
      </c>
      <c r="F44" s="50">
        <f>'Lote 3'!F14</f>
        <v>1332</v>
      </c>
      <c r="G44" s="51">
        <f>'Lote 3'!G14</f>
        <v>1318</v>
      </c>
      <c r="H44" s="50">
        <f t="shared" si="50"/>
        <v>1364</v>
      </c>
      <c r="I44" s="53">
        <f>_xlfn.STDEV.S(C44:G44)</f>
        <v>39.070449191172607</v>
      </c>
      <c r="K44" s="50">
        <v>210</v>
      </c>
      <c r="L44" s="52">
        <f t="shared" ref="L44:P44" si="73">1/C44</f>
        <v>7.1275837491090524E-4</v>
      </c>
      <c r="M44" s="50">
        <f t="shared" si="73"/>
        <v>7.1326676176890159E-4</v>
      </c>
      <c r="N44" s="50">
        <f t="shared" si="73"/>
        <v>7.326007326007326E-4</v>
      </c>
      <c r="O44" s="50">
        <f t="shared" si="73"/>
        <v>7.5075075075075074E-4</v>
      </c>
      <c r="P44" s="50">
        <f t="shared" si="73"/>
        <v>7.5872534142640367E-4</v>
      </c>
      <c r="Q44" s="50">
        <f t="shared" si="53"/>
        <v>7.3362039229153881E-4</v>
      </c>
      <c r="S44" s="50">
        <v>210</v>
      </c>
      <c r="T44" s="57">
        <f t="shared" ref="T44:X44" si="74">(L44-$M$46)/$M$46</f>
        <v>9.5984794488002054E-2</v>
      </c>
      <c r="U44" s="58">
        <f t="shared" si="74"/>
        <v>9.6766524013314439E-2</v>
      </c>
      <c r="V44" s="58">
        <f t="shared" si="74"/>
        <v>0.1264957264957266</v>
      </c>
      <c r="W44" s="58">
        <f t="shared" si="74"/>
        <v>0.1544044044044045</v>
      </c>
      <c r="X44" s="59">
        <f t="shared" si="74"/>
        <v>0.1666666666666668</v>
      </c>
      <c r="Y44" s="49">
        <f t="shared" si="56"/>
        <v>0.12806362321362288</v>
      </c>
    </row>
    <row r="45" spans="1:25" ht="15.75" customHeight="1">
      <c r="A45" s="16"/>
      <c r="Y45" s="16"/>
    </row>
    <row r="46" spans="1:25" ht="15.75" customHeight="1">
      <c r="A46" s="16"/>
      <c r="K46" s="162" t="s">
        <v>18</v>
      </c>
      <c r="L46" s="154"/>
      <c r="M46" s="56">
        <f>1/AVERAGE(H4,H19,H34)</f>
        <v>6.5033600693691735E-4</v>
      </c>
      <c r="N46" s="64"/>
    </row>
    <row r="47" spans="1:25" ht="15.75" customHeight="1">
      <c r="A47" s="16"/>
    </row>
    <row r="48" spans="1:25" ht="15.75" customHeight="1">
      <c r="A48" s="16"/>
      <c r="K48" s="23" t="s">
        <v>19</v>
      </c>
      <c r="L48" s="23" t="s">
        <v>20</v>
      </c>
      <c r="M48" s="27" t="s">
        <v>21</v>
      </c>
    </row>
    <row r="49" spans="1:25" ht="15.75" customHeight="1">
      <c r="A49" s="16"/>
      <c r="K49" s="5">
        <v>1</v>
      </c>
      <c r="L49" s="65">
        <f>Y14</f>
        <v>0.19183952953545083</v>
      </c>
      <c r="M49" s="66">
        <f t="shared" ref="M49:M51" si="75">L49/0.2</f>
        <v>0.95919764767725413</v>
      </c>
      <c r="N49" s="67"/>
      <c r="P49" s="67"/>
    </row>
    <row r="50" spans="1:25" ht="15.75" customHeight="1">
      <c r="A50" s="16"/>
      <c r="K50" s="16">
        <v>2</v>
      </c>
      <c r="L50" s="68">
        <f>Y29</f>
        <v>0.1949976113435242</v>
      </c>
      <c r="M50" s="69">
        <f t="shared" si="75"/>
        <v>0.9749880567176209</v>
      </c>
      <c r="N50" s="70"/>
    </row>
    <row r="51" spans="1:25" ht="15.75" customHeight="1">
      <c r="A51" s="16"/>
      <c r="K51" s="47">
        <v>3</v>
      </c>
      <c r="L51" s="60">
        <f>Y44</f>
        <v>0.12806362321362288</v>
      </c>
      <c r="M51" s="71">
        <f t="shared" si="75"/>
        <v>0.6403181160681144</v>
      </c>
    </row>
    <row r="52" spans="1:25" ht="15.75" customHeight="1">
      <c r="A52" s="16"/>
      <c r="K52" s="163" t="s">
        <v>22</v>
      </c>
      <c r="L52" s="164"/>
      <c r="M52" s="65">
        <f>AVERAGE(L49:L51)</f>
        <v>0.17163358803086595</v>
      </c>
    </row>
    <row r="53" spans="1:25" ht="15.75" customHeight="1">
      <c r="A53" s="16"/>
      <c r="K53" s="159" t="s">
        <v>23</v>
      </c>
      <c r="L53" s="160"/>
      <c r="M53" s="37">
        <f>_xlfn.STDEV.S(L49:L51)</f>
        <v>3.776572183618996E-2</v>
      </c>
    </row>
    <row r="54" spans="1:25" ht="15.75" customHeight="1">
      <c r="A54" s="16"/>
      <c r="K54" s="161" t="s">
        <v>24</v>
      </c>
      <c r="L54" s="149"/>
      <c r="M54" s="62">
        <f>M52/0.2</f>
        <v>0.85816794015432973</v>
      </c>
    </row>
    <row r="55" spans="1:25" ht="15.75" customHeight="1">
      <c r="A55" s="16"/>
      <c r="K55" s="72"/>
    </row>
    <row r="56" spans="1:25" ht="15.75" customHeight="1">
      <c r="A56" s="16"/>
    </row>
    <row r="57" spans="1:25" ht="15.75" customHeight="1">
      <c r="A57" s="16"/>
    </row>
    <row r="58" spans="1:25" ht="15.75" customHeight="1">
      <c r="A58" s="16"/>
      <c r="Y58" s="16"/>
    </row>
    <row r="59" spans="1:25" ht="15.75" customHeight="1">
      <c r="A59" s="16"/>
      <c r="Y59" s="16"/>
    </row>
    <row r="60" spans="1:25" ht="15.75" customHeight="1">
      <c r="A60" s="16"/>
      <c r="Y60" s="16"/>
    </row>
    <row r="61" spans="1:25" ht="15.75" customHeight="1">
      <c r="A61" s="16"/>
      <c r="Y61" s="16"/>
    </row>
    <row r="62" spans="1:25" ht="15.75" customHeight="1">
      <c r="A62" s="16"/>
      <c r="Y62" s="16"/>
    </row>
    <row r="63" spans="1:25" ht="15.75" customHeight="1">
      <c r="A63" s="16"/>
      <c r="Y63" s="16"/>
    </row>
    <row r="64" spans="1:25" ht="15.75" customHeight="1">
      <c r="A64" s="16"/>
      <c r="Y64" s="16"/>
    </row>
    <row r="65" spans="1:25" ht="15.75" customHeight="1">
      <c r="A65" s="16"/>
      <c r="Y65" s="16"/>
    </row>
    <row r="66" spans="1:25" ht="15.75" customHeight="1">
      <c r="A66" s="16"/>
      <c r="Y66" s="16"/>
    </row>
    <row r="67" spans="1:25" ht="15.75" customHeight="1">
      <c r="A67" s="16"/>
      <c r="Y67" s="16"/>
    </row>
    <row r="68" spans="1:25" ht="15.75" customHeight="1">
      <c r="A68" s="16"/>
      <c r="Y68" s="16"/>
    </row>
    <row r="69" spans="1:25" ht="15.75" customHeight="1">
      <c r="A69" s="16"/>
      <c r="Y69" s="16"/>
    </row>
    <row r="70" spans="1:25" ht="15.75" customHeight="1">
      <c r="A70" s="16"/>
      <c r="Y70" s="16"/>
    </row>
    <row r="71" spans="1:25" ht="15.75" customHeight="1">
      <c r="A71" s="16"/>
      <c r="Y71" s="16"/>
    </row>
    <row r="72" spans="1:25" ht="15.75" customHeight="1">
      <c r="A72" s="16"/>
      <c r="Y72" s="16"/>
    </row>
    <row r="73" spans="1:25" ht="15.75" customHeight="1">
      <c r="A73" s="16"/>
      <c r="Y73" s="16"/>
    </row>
    <row r="74" spans="1:25" ht="15.75" customHeight="1">
      <c r="A74" s="16"/>
      <c r="Y74" s="16"/>
    </row>
    <row r="75" spans="1:25" ht="15.75" customHeight="1">
      <c r="A75" s="16"/>
      <c r="Y75" s="16"/>
    </row>
    <row r="76" spans="1:25" ht="15.75" customHeight="1">
      <c r="A76" s="16"/>
      <c r="Y76" s="16"/>
    </row>
    <row r="77" spans="1:25" ht="15.75" customHeight="1">
      <c r="A77" s="16"/>
      <c r="Y77" s="16"/>
    </row>
    <row r="78" spans="1:25" ht="15.75" customHeight="1">
      <c r="A78" s="16"/>
      <c r="Y78" s="16"/>
    </row>
    <row r="79" spans="1:25" ht="15.75" customHeight="1">
      <c r="A79" s="16"/>
      <c r="Y79" s="16"/>
    </row>
    <row r="80" spans="1:25" ht="15.75" customHeight="1">
      <c r="A80" s="16"/>
      <c r="Y80" s="16"/>
    </row>
    <row r="81" spans="1:25" ht="15.75" customHeight="1">
      <c r="A81" s="16"/>
      <c r="Y81" s="16"/>
    </row>
    <row r="82" spans="1:25" ht="15.75" customHeight="1">
      <c r="A82" s="16"/>
      <c r="Y82" s="16"/>
    </row>
    <row r="83" spans="1:25" ht="15.75" customHeight="1">
      <c r="A83" s="16"/>
      <c r="Y83" s="16"/>
    </row>
    <row r="84" spans="1:25" ht="15.75" customHeight="1">
      <c r="A84" s="16"/>
      <c r="Y84" s="16"/>
    </row>
    <row r="85" spans="1:25" ht="15.75" customHeight="1">
      <c r="A85" s="16"/>
      <c r="Y85" s="16"/>
    </row>
    <row r="86" spans="1:25" ht="15.75" customHeight="1">
      <c r="A86" s="16"/>
      <c r="Y86" s="16"/>
    </row>
    <row r="87" spans="1:25" ht="15.75" customHeight="1">
      <c r="A87" s="16"/>
      <c r="Y87" s="16"/>
    </row>
    <row r="88" spans="1:25" ht="15.75" customHeight="1">
      <c r="A88" s="16"/>
      <c r="Y88" s="16"/>
    </row>
    <row r="89" spans="1:25" ht="15.75" customHeight="1">
      <c r="A89" s="16"/>
      <c r="Y89" s="16"/>
    </row>
    <row r="90" spans="1:25" ht="15.75" customHeight="1">
      <c r="A90" s="16"/>
      <c r="Y90" s="16"/>
    </row>
    <row r="91" spans="1:25" ht="15.75" customHeight="1">
      <c r="A91" s="16"/>
      <c r="Y91" s="16"/>
    </row>
    <row r="92" spans="1:25" ht="15.75" customHeight="1">
      <c r="A92" s="16"/>
      <c r="Y92" s="16"/>
    </row>
    <row r="93" spans="1:25" ht="15.75" customHeight="1">
      <c r="A93" s="16"/>
      <c r="Y93" s="16"/>
    </row>
    <row r="94" spans="1:25" ht="15.75" customHeight="1">
      <c r="A94" s="16"/>
      <c r="Y94" s="16"/>
    </row>
    <row r="95" spans="1:25" ht="15.75" customHeight="1">
      <c r="A95" s="16"/>
      <c r="Y95" s="16"/>
    </row>
    <row r="96" spans="1:25" ht="15.75" customHeight="1">
      <c r="A96" s="16"/>
      <c r="Y96" s="16"/>
    </row>
    <row r="97" spans="1:25" ht="15.75" customHeight="1">
      <c r="A97" s="16"/>
      <c r="Y97" s="16"/>
    </row>
    <row r="98" spans="1:25" ht="15.75" customHeight="1">
      <c r="A98" s="16"/>
      <c r="Y98" s="16"/>
    </row>
    <row r="99" spans="1:25" ht="15.75" customHeight="1">
      <c r="A99" s="16"/>
      <c r="Y99" s="16"/>
    </row>
    <row r="100" spans="1:25" ht="15.75" customHeight="1">
      <c r="A100" s="16"/>
      <c r="Y100" s="16"/>
    </row>
    <row r="101" spans="1:25" ht="15.75" customHeight="1">
      <c r="A101" s="16"/>
      <c r="Y101" s="16"/>
    </row>
    <row r="102" spans="1:25" ht="15.75" customHeight="1">
      <c r="A102" s="16"/>
      <c r="Y102" s="16"/>
    </row>
    <row r="103" spans="1:25" ht="15.75" customHeight="1">
      <c r="A103" s="16"/>
      <c r="Y103" s="16"/>
    </row>
    <row r="104" spans="1:25" ht="15.75" customHeight="1">
      <c r="A104" s="16"/>
      <c r="Y104" s="16"/>
    </row>
    <row r="105" spans="1:25" ht="15.75" customHeight="1">
      <c r="A105" s="16"/>
      <c r="Y105" s="16"/>
    </row>
    <row r="106" spans="1:25" ht="15.75" customHeight="1">
      <c r="A106" s="16"/>
      <c r="Y106" s="16"/>
    </row>
    <row r="107" spans="1:25" ht="15.75" customHeight="1">
      <c r="A107" s="16"/>
      <c r="Y107" s="16"/>
    </row>
    <row r="108" spans="1:25" ht="15.75" customHeight="1">
      <c r="A108" s="16"/>
      <c r="Y108" s="16"/>
    </row>
    <row r="109" spans="1:25" ht="15.75" customHeight="1">
      <c r="A109" s="16"/>
      <c r="Y109" s="16"/>
    </row>
    <row r="110" spans="1:25" ht="15.75" customHeight="1">
      <c r="A110" s="16"/>
      <c r="Y110" s="16"/>
    </row>
    <row r="111" spans="1:25" ht="15.75" customHeight="1">
      <c r="A111" s="16"/>
      <c r="Y111" s="16"/>
    </row>
    <row r="112" spans="1:25" ht="15.75" customHeight="1">
      <c r="A112" s="16"/>
      <c r="Y112" s="16"/>
    </row>
    <row r="113" spans="1:25" ht="15.75" customHeight="1">
      <c r="A113" s="16"/>
      <c r="Y113" s="16"/>
    </row>
    <row r="114" spans="1:25" ht="15.75" customHeight="1">
      <c r="A114" s="16"/>
      <c r="Y114" s="16"/>
    </row>
    <row r="115" spans="1:25" ht="15.75" customHeight="1">
      <c r="A115" s="16"/>
      <c r="Y115" s="16"/>
    </row>
    <row r="116" spans="1:25" ht="15.75" customHeight="1">
      <c r="A116" s="16"/>
      <c r="Y116" s="16"/>
    </row>
    <row r="117" spans="1:25" ht="15.75" customHeight="1">
      <c r="A117" s="16"/>
      <c r="Y117" s="16"/>
    </row>
    <row r="118" spans="1:25" ht="15.75" customHeight="1">
      <c r="A118" s="16"/>
      <c r="Y118" s="16"/>
    </row>
    <row r="119" spans="1:25" ht="15.75" customHeight="1">
      <c r="A119" s="16"/>
      <c r="Y119" s="16"/>
    </row>
    <row r="120" spans="1:25" ht="15.75" customHeight="1">
      <c r="A120" s="16"/>
      <c r="Y120" s="16"/>
    </row>
    <row r="121" spans="1:25" ht="15.75" customHeight="1">
      <c r="A121" s="16"/>
      <c r="Y121" s="16"/>
    </row>
    <row r="122" spans="1:25" ht="15.75" customHeight="1">
      <c r="A122" s="16"/>
      <c r="Y122" s="16"/>
    </row>
    <row r="123" spans="1:25" ht="15.75" customHeight="1">
      <c r="A123" s="16"/>
      <c r="Y123" s="16"/>
    </row>
    <row r="124" spans="1:25" ht="15.75" customHeight="1">
      <c r="A124" s="16"/>
      <c r="Y124" s="16"/>
    </row>
    <row r="125" spans="1:25" ht="15.75" customHeight="1">
      <c r="A125" s="16"/>
      <c r="Y125" s="16"/>
    </row>
    <row r="126" spans="1:25" ht="15.75" customHeight="1">
      <c r="A126" s="16"/>
      <c r="Y126" s="16"/>
    </row>
    <row r="127" spans="1:25" ht="15.75" customHeight="1">
      <c r="A127" s="16"/>
      <c r="Y127" s="16"/>
    </row>
    <row r="128" spans="1:25" ht="15.75" customHeight="1">
      <c r="A128" s="16"/>
      <c r="Y128" s="16"/>
    </row>
    <row r="129" spans="1:25" ht="15.75" customHeight="1">
      <c r="A129" s="16"/>
      <c r="Y129" s="16"/>
    </row>
    <row r="130" spans="1:25" ht="15.75" customHeight="1">
      <c r="A130" s="16"/>
      <c r="Y130" s="16"/>
    </row>
    <row r="131" spans="1:25" ht="15.75" customHeight="1">
      <c r="A131" s="16"/>
      <c r="Y131" s="16"/>
    </row>
    <row r="132" spans="1:25" ht="15.75" customHeight="1">
      <c r="A132" s="16"/>
      <c r="Y132" s="16"/>
    </row>
    <row r="133" spans="1:25" ht="15.75" customHeight="1">
      <c r="A133" s="16"/>
      <c r="Y133" s="16"/>
    </row>
    <row r="134" spans="1:25" ht="15.75" customHeight="1">
      <c r="A134" s="16"/>
      <c r="Y134" s="16"/>
    </row>
    <row r="135" spans="1:25" ht="15.75" customHeight="1">
      <c r="A135" s="16"/>
      <c r="Y135" s="16"/>
    </row>
    <row r="136" spans="1:25" ht="15.75" customHeight="1">
      <c r="A136" s="16"/>
      <c r="Y136" s="16"/>
    </row>
    <row r="137" spans="1:25" ht="15.75" customHeight="1">
      <c r="A137" s="16"/>
      <c r="Y137" s="16"/>
    </row>
    <row r="138" spans="1:25" ht="15.75" customHeight="1">
      <c r="A138" s="16"/>
      <c r="Y138" s="16"/>
    </row>
    <row r="139" spans="1:25" ht="15.75" customHeight="1">
      <c r="A139" s="16"/>
      <c r="Y139" s="16"/>
    </row>
    <row r="140" spans="1:25" ht="15.75" customHeight="1">
      <c r="A140" s="16"/>
      <c r="Y140" s="16"/>
    </row>
    <row r="141" spans="1:25" ht="15.75" customHeight="1">
      <c r="A141" s="16"/>
      <c r="Y141" s="16"/>
    </row>
    <row r="142" spans="1:25" ht="15.75" customHeight="1">
      <c r="A142" s="16"/>
      <c r="Y142" s="16"/>
    </row>
    <row r="143" spans="1:25" ht="15.75" customHeight="1">
      <c r="A143" s="16"/>
      <c r="Y143" s="16"/>
    </row>
    <row r="144" spans="1:25" ht="15.75" customHeight="1">
      <c r="A144" s="16"/>
      <c r="Y144" s="16"/>
    </row>
    <row r="145" spans="1:25" ht="15.75" customHeight="1">
      <c r="A145" s="16"/>
      <c r="Y145" s="16"/>
    </row>
    <row r="146" spans="1:25" ht="15.75" customHeight="1">
      <c r="A146" s="16"/>
      <c r="Y146" s="16"/>
    </row>
    <row r="147" spans="1:25" ht="15.75" customHeight="1">
      <c r="A147" s="16"/>
      <c r="Y147" s="16"/>
    </row>
    <row r="148" spans="1:25" ht="15.75" customHeight="1">
      <c r="A148" s="16"/>
      <c r="Y148" s="16"/>
    </row>
    <row r="149" spans="1:25" ht="15.75" customHeight="1">
      <c r="A149" s="16"/>
      <c r="Y149" s="16"/>
    </row>
    <row r="150" spans="1:25" ht="15.75" customHeight="1">
      <c r="A150" s="16"/>
      <c r="Y150" s="16"/>
    </row>
    <row r="151" spans="1:25" ht="15.75" customHeight="1">
      <c r="A151" s="16"/>
      <c r="Y151" s="16"/>
    </row>
    <row r="152" spans="1:25" ht="15.75" customHeight="1">
      <c r="A152" s="16"/>
      <c r="Y152" s="16"/>
    </row>
    <row r="153" spans="1:25" ht="15.75" customHeight="1">
      <c r="A153" s="16"/>
      <c r="Y153" s="16"/>
    </row>
    <row r="154" spans="1:25" ht="15.75" customHeight="1">
      <c r="A154" s="16"/>
      <c r="Y154" s="16"/>
    </row>
    <row r="155" spans="1:25" ht="15.75" customHeight="1">
      <c r="A155" s="16"/>
      <c r="Y155" s="16"/>
    </row>
    <row r="156" spans="1:25" ht="15.75" customHeight="1">
      <c r="A156" s="16"/>
      <c r="Y156" s="16"/>
    </row>
    <row r="157" spans="1:25" ht="15.75" customHeight="1">
      <c r="A157" s="16"/>
      <c r="Y157" s="16"/>
    </row>
    <row r="158" spans="1:25" ht="15.75" customHeight="1">
      <c r="A158" s="16"/>
      <c r="Y158" s="16"/>
    </row>
    <row r="159" spans="1:25" ht="15.75" customHeight="1">
      <c r="A159" s="16"/>
      <c r="Y159" s="16"/>
    </row>
    <row r="160" spans="1:25" ht="15.75" customHeight="1">
      <c r="A160" s="16"/>
      <c r="Y160" s="16"/>
    </row>
    <row r="161" spans="1:25" ht="15.75" customHeight="1">
      <c r="A161" s="16"/>
      <c r="Y161" s="16"/>
    </row>
    <row r="162" spans="1:25" ht="15.75" customHeight="1">
      <c r="A162" s="16"/>
      <c r="Y162" s="16"/>
    </row>
    <row r="163" spans="1:25" ht="15.75" customHeight="1">
      <c r="A163" s="16"/>
      <c r="Y163" s="16"/>
    </row>
    <row r="164" spans="1:25" ht="15.75" customHeight="1">
      <c r="A164" s="16"/>
      <c r="Y164" s="16"/>
    </row>
    <row r="165" spans="1:25" ht="15.75" customHeight="1">
      <c r="A165" s="16"/>
      <c r="Y165" s="16"/>
    </row>
    <row r="166" spans="1:25" ht="15.75" customHeight="1">
      <c r="A166" s="16"/>
      <c r="Y166" s="16"/>
    </row>
    <row r="167" spans="1:25" ht="15.75" customHeight="1">
      <c r="A167" s="16"/>
      <c r="Y167" s="16"/>
    </row>
    <row r="168" spans="1:25" ht="15.75" customHeight="1">
      <c r="A168" s="16"/>
      <c r="Y168" s="16"/>
    </row>
    <row r="169" spans="1:25" ht="15.75" customHeight="1">
      <c r="A169" s="16"/>
      <c r="Y169" s="16"/>
    </row>
    <row r="170" spans="1:25" ht="15.75" customHeight="1">
      <c r="A170" s="16"/>
      <c r="Y170" s="16"/>
    </row>
    <row r="171" spans="1:25" ht="15.75" customHeight="1">
      <c r="A171" s="16"/>
      <c r="Y171" s="16"/>
    </row>
    <row r="172" spans="1:25" ht="15.75" customHeight="1">
      <c r="A172" s="16"/>
      <c r="Y172" s="16"/>
    </row>
    <row r="173" spans="1:25" ht="15.75" customHeight="1">
      <c r="A173" s="16"/>
      <c r="Y173" s="16"/>
    </row>
    <row r="174" spans="1:25" ht="15.75" customHeight="1">
      <c r="A174" s="16"/>
      <c r="Y174" s="16"/>
    </row>
    <row r="175" spans="1:25" ht="15.75" customHeight="1">
      <c r="A175" s="16"/>
      <c r="Y175" s="16"/>
    </row>
    <row r="176" spans="1:25" ht="15.75" customHeight="1">
      <c r="A176" s="16"/>
      <c r="Y176" s="16"/>
    </row>
    <row r="177" spans="1:25" ht="15.75" customHeight="1">
      <c r="A177" s="16"/>
      <c r="Y177" s="16"/>
    </row>
    <row r="178" spans="1:25" ht="15.75" customHeight="1">
      <c r="A178" s="16"/>
      <c r="Y178" s="16"/>
    </row>
    <row r="179" spans="1:25" ht="15.75" customHeight="1">
      <c r="A179" s="16"/>
      <c r="Y179" s="16"/>
    </row>
    <row r="180" spans="1:25" ht="15.75" customHeight="1">
      <c r="A180" s="16"/>
      <c r="Y180" s="16"/>
    </row>
    <row r="181" spans="1:25" ht="15.75" customHeight="1">
      <c r="A181" s="16"/>
      <c r="Y181" s="16"/>
    </row>
    <row r="182" spans="1:25" ht="15.75" customHeight="1">
      <c r="A182" s="16"/>
      <c r="Y182" s="16"/>
    </row>
    <row r="183" spans="1:25" ht="15.75" customHeight="1">
      <c r="A183" s="16"/>
      <c r="Y183" s="16"/>
    </row>
    <row r="184" spans="1:25" ht="15.75" customHeight="1">
      <c r="A184" s="16"/>
      <c r="Y184" s="16"/>
    </row>
    <row r="185" spans="1:25" ht="15.75" customHeight="1">
      <c r="A185" s="16"/>
      <c r="Y185" s="16"/>
    </row>
    <row r="186" spans="1:25" ht="15.75" customHeight="1">
      <c r="A186" s="16"/>
      <c r="Y186" s="16"/>
    </row>
    <row r="187" spans="1:25" ht="15.75" customHeight="1">
      <c r="A187" s="16"/>
      <c r="Y187" s="16"/>
    </row>
    <row r="188" spans="1:25" ht="15.75" customHeight="1">
      <c r="A188" s="16"/>
      <c r="Y188" s="16"/>
    </row>
    <row r="189" spans="1:25" ht="15.75" customHeight="1">
      <c r="A189" s="16"/>
      <c r="Y189" s="16"/>
    </row>
    <row r="190" spans="1:25" ht="15.75" customHeight="1">
      <c r="A190" s="16"/>
      <c r="Y190" s="16"/>
    </row>
    <row r="191" spans="1:25" ht="15.75" customHeight="1">
      <c r="A191" s="16"/>
      <c r="Y191" s="16"/>
    </row>
    <row r="192" spans="1:25" ht="15.75" customHeight="1">
      <c r="A192" s="16"/>
      <c r="Y192" s="16"/>
    </row>
    <row r="193" spans="1:25" ht="15.75" customHeight="1">
      <c r="A193" s="16"/>
      <c r="Y193" s="16"/>
    </row>
    <row r="194" spans="1:25" ht="15.75" customHeight="1">
      <c r="A194" s="16"/>
      <c r="Y194" s="16"/>
    </row>
    <row r="195" spans="1:25" ht="15.75" customHeight="1">
      <c r="A195" s="16"/>
      <c r="Y195" s="16"/>
    </row>
    <row r="196" spans="1:25" ht="15.75" customHeight="1">
      <c r="A196" s="16"/>
      <c r="Y196" s="16"/>
    </row>
    <row r="197" spans="1:25" ht="15.75" customHeight="1">
      <c r="A197" s="16"/>
      <c r="Y197" s="16"/>
    </row>
    <row r="198" spans="1:25" ht="15.75" customHeight="1">
      <c r="A198" s="16"/>
      <c r="Y198" s="16"/>
    </row>
    <row r="199" spans="1:25" ht="15.75" customHeight="1">
      <c r="A199" s="16"/>
      <c r="Y199" s="16"/>
    </row>
    <row r="200" spans="1:25" ht="15.75" customHeight="1">
      <c r="A200" s="16"/>
      <c r="Y200" s="16"/>
    </row>
    <row r="201" spans="1:25" ht="15.75" customHeight="1">
      <c r="A201" s="16"/>
      <c r="Y201" s="16"/>
    </row>
    <row r="202" spans="1:25" ht="15.75" customHeight="1">
      <c r="A202" s="16"/>
      <c r="Y202" s="16"/>
    </row>
    <row r="203" spans="1:25" ht="15.75" customHeight="1">
      <c r="A203" s="16"/>
      <c r="Y203" s="16"/>
    </row>
    <row r="204" spans="1:25" ht="15.75" customHeight="1">
      <c r="A204" s="16"/>
      <c r="Y204" s="16"/>
    </row>
    <row r="205" spans="1:25" ht="15.75" customHeight="1">
      <c r="A205" s="16"/>
      <c r="Y205" s="16"/>
    </row>
    <row r="206" spans="1:25" ht="15.75" customHeight="1">
      <c r="A206" s="16"/>
      <c r="Y206" s="16"/>
    </row>
    <row r="207" spans="1:25" ht="15.75" customHeight="1">
      <c r="A207" s="16"/>
      <c r="Y207" s="16"/>
    </row>
    <row r="208" spans="1:25" ht="15.75" customHeight="1">
      <c r="A208" s="16"/>
      <c r="Y208" s="16"/>
    </row>
    <row r="209" spans="1:25" ht="15.75" customHeight="1">
      <c r="A209" s="16"/>
      <c r="Y209" s="16"/>
    </row>
    <row r="210" spans="1:25" ht="15.75" customHeight="1">
      <c r="A210" s="16"/>
      <c r="Y210" s="16"/>
    </row>
    <row r="211" spans="1:25" ht="15.75" customHeight="1">
      <c r="A211" s="16"/>
      <c r="Y211" s="16"/>
    </row>
    <row r="212" spans="1:25" ht="15.75" customHeight="1">
      <c r="A212" s="16"/>
      <c r="Y212" s="16"/>
    </row>
    <row r="213" spans="1:25" ht="15.75" customHeight="1">
      <c r="A213" s="16"/>
      <c r="Y213" s="16"/>
    </row>
    <row r="214" spans="1:25" ht="15.75" customHeight="1">
      <c r="A214" s="16"/>
      <c r="Y214" s="16"/>
    </row>
    <row r="215" spans="1:25" ht="15.75" customHeight="1">
      <c r="A215" s="16"/>
      <c r="Y215" s="16"/>
    </row>
    <row r="216" spans="1:25" ht="15.75" customHeight="1">
      <c r="A216" s="16"/>
      <c r="Y216" s="16"/>
    </row>
    <row r="217" spans="1:25" ht="15.75" customHeight="1">
      <c r="A217" s="16"/>
      <c r="Y217" s="16"/>
    </row>
    <row r="218" spans="1:25" ht="15.75" customHeight="1">
      <c r="A218" s="16"/>
      <c r="Y218" s="16"/>
    </row>
    <row r="219" spans="1:25" ht="15.75" customHeight="1">
      <c r="A219" s="16"/>
      <c r="Y219" s="16"/>
    </row>
    <row r="220" spans="1:25" ht="15.75" customHeight="1">
      <c r="A220" s="16"/>
      <c r="Y220" s="16"/>
    </row>
    <row r="221" spans="1:25" ht="15.75" customHeight="1">
      <c r="A221" s="16"/>
      <c r="Y221" s="16"/>
    </row>
    <row r="222" spans="1:25" ht="15.75" customHeight="1">
      <c r="A222" s="16"/>
      <c r="Y222" s="16"/>
    </row>
    <row r="223" spans="1:25" ht="15.75" customHeight="1">
      <c r="A223" s="16"/>
      <c r="Y223" s="16"/>
    </row>
    <row r="224" spans="1:25" ht="15.75" customHeight="1">
      <c r="A224" s="16"/>
      <c r="Y224" s="16"/>
    </row>
    <row r="225" spans="1:25" ht="15.75" customHeight="1">
      <c r="A225" s="16"/>
      <c r="Y225" s="16"/>
    </row>
    <row r="226" spans="1:25" ht="15.75" customHeight="1">
      <c r="A226" s="16"/>
      <c r="Y226" s="16"/>
    </row>
    <row r="227" spans="1:25" ht="15.75" customHeight="1">
      <c r="A227" s="16"/>
      <c r="Y227" s="16"/>
    </row>
    <row r="228" spans="1:25" ht="15.75" customHeight="1">
      <c r="A228" s="16"/>
      <c r="Y228" s="16"/>
    </row>
    <row r="229" spans="1:25" ht="15.75" customHeight="1">
      <c r="A229" s="16"/>
      <c r="Y229" s="16"/>
    </row>
    <row r="230" spans="1:25" ht="15.75" customHeight="1">
      <c r="A230" s="16"/>
      <c r="Y230" s="16"/>
    </row>
    <row r="231" spans="1:25" ht="15.75" customHeight="1">
      <c r="A231" s="16"/>
      <c r="Y231" s="16"/>
    </row>
    <row r="232" spans="1:25" ht="15.75" customHeight="1">
      <c r="A232" s="16"/>
      <c r="Y232" s="16"/>
    </row>
    <row r="233" spans="1:25" ht="15.75" customHeight="1">
      <c r="A233" s="16"/>
      <c r="Y233" s="16"/>
    </row>
    <row r="234" spans="1:25" ht="15.75" customHeight="1">
      <c r="A234" s="16"/>
      <c r="Y234" s="16"/>
    </row>
    <row r="235" spans="1:25" ht="15.75" customHeight="1">
      <c r="A235" s="16"/>
      <c r="Y235" s="16"/>
    </row>
    <row r="236" spans="1:25" ht="15.75" customHeight="1">
      <c r="A236" s="16"/>
      <c r="Y236" s="16"/>
    </row>
    <row r="237" spans="1:25" ht="15.75" customHeight="1">
      <c r="A237" s="16"/>
      <c r="Y237" s="16"/>
    </row>
    <row r="238" spans="1:25" ht="15.75" customHeight="1">
      <c r="A238" s="16"/>
      <c r="Y238" s="16"/>
    </row>
    <row r="239" spans="1:25" ht="15.75" customHeight="1">
      <c r="A239" s="16"/>
      <c r="Y239" s="16"/>
    </row>
    <row r="240" spans="1:25" ht="15.75" customHeight="1">
      <c r="A240" s="16"/>
      <c r="Y240" s="16"/>
    </row>
    <row r="241" spans="1:25" ht="15.75" customHeight="1">
      <c r="A241" s="16"/>
      <c r="Y241" s="16"/>
    </row>
    <row r="242" spans="1:25" ht="15.75" customHeight="1">
      <c r="A242" s="16"/>
      <c r="Y242" s="16"/>
    </row>
    <row r="243" spans="1:25" ht="15.75" customHeight="1">
      <c r="A243" s="16"/>
      <c r="Y243" s="16"/>
    </row>
    <row r="244" spans="1:25" ht="15.75" customHeight="1">
      <c r="A244" s="16"/>
      <c r="Y244" s="16"/>
    </row>
    <row r="245" spans="1:25" ht="15.75" customHeight="1">
      <c r="A245" s="16"/>
      <c r="Y245" s="16"/>
    </row>
    <row r="246" spans="1:25" ht="15.75" customHeight="1">
      <c r="A246" s="16"/>
      <c r="Y246" s="16"/>
    </row>
    <row r="247" spans="1:25" ht="15.75" customHeight="1">
      <c r="A247" s="16"/>
      <c r="Y247" s="16"/>
    </row>
    <row r="248" spans="1:25" ht="15.75" customHeight="1">
      <c r="A248" s="16"/>
      <c r="Y248" s="16"/>
    </row>
    <row r="249" spans="1:25" ht="15.75" customHeight="1">
      <c r="A249" s="16"/>
      <c r="Y249" s="16"/>
    </row>
    <row r="250" spans="1:25" ht="15.75" customHeight="1">
      <c r="A250" s="16"/>
      <c r="Y250" s="16"/>
    </row>
    <row r="251" spans="1:25" ht="15.75" customHeight="1">
      <c r="A251" s="16"/>
      <c r="Y251" s="16"/>
    </row>
    <row r="252" spans="1:25" ht="15.75" customHeight="1">
      <c r="A252" s="16"/>
      <c r="Y252" s="16"/>
    </row>
    <row r="253" spans="1:25" ht="15.75" customHeight="1">
      <c r="A253" s="16"/>
      <c r="Y253" s="16"/>
    </row>
    <row r="254" spans="1:25" ht="15.75" customHeight="1">
      <c r="A254" s="16"/>
      <c r="Y254" s="16"/>
    </row>
    <row r="255" spans="1:25" ht="15.75" customHeight="1">
      <c r="A255" s="16"/>
      <c r="Y255" s="16"/>
    </row>
    <row r="256" spans="1:25" ht="15.75" customHeight="1">
      <c r="A256" s="16"/>
      <c r="Y256" s="16"/>
    </row>
    <row r="257" spans="1:25" ht="15.75" customHeight="1">
      <c r="A257" s="16"/>
      <c r="Y257" s="16"/>
    </row>
    <row r="258" spans="1:25" ht="15.75" customHeight="1">
      <c r="A258" s="16"/>
      <c r="Y258" s="16"/>
    </row>
    <row r="259" spans="1:25" ht="15.75" customHeight="1">
      <c r="A259" s="16"/>
      <c r="Y259" s="16"/>
    </row>
    <row r="260" spans="1:25" ht="15.75" customHeight="1">
      <c r="A260" s="16"/>
      <c r="Y260" s="16"/>
    </row>
    <row r="261" spans="1:25" ht="15.75" customHeight="1">
      <c r="A261" s="16"/>
      <c r="Y261" s="16"/>
    </row>
    <row r="262" spans="1:25" ht="15.75" customHeight="1">
      <c r="A262" s="16"/>
      <c r="Y262" s="16"/>
    </row>
    <row r="263" spans="1:25" ht="15.75" customHeight="1">
      <c r="A263" s="16"/>
      <c r="Y263" s="16"/>
    </row>
    <row r="264" spans="1:25" ht="15.75" customHeight="1">
      <c r="A264" s="16"/>
      <c r="Y264" s="16"/>
    </row>
    <row r="265" spans="1:25" ht="15.75" customHeight="1">
      <c r="A265" s="16"/>
      <c r="Y265" s="16"/>
    </row>
    <row r="266" spans="1:25" ht="15.75" customHeight="1">
      <c r="A266" s="16"/>
      <c r="Y266" s="16"/>
    </row>
    <row r="267" spans="1:25" ht="15.75" customHeight="1">
      <c r="A267" s="16"/>
      <c r="Y267" s="16"/>
    </row>
    <row r="268" spans="1:25" ht="15.75" customHeight="1">
      <c r="A268" s="16"/>
      <c r="Y268" s="16"/>
    </row>
    <row r="269" spans="1:25" ht="15.75" customHeight="1">
      <c r="A269" s="16"/>
      <c r="Y269" s="16"/>
    </row>
    <row r="270" spans="1:25" ht="15.75" customHeight="1">
      <c r="A270" s="16"/>
      <c r="Y270" s="16"/>
    </row>
    <row r="271" spans="1:25" ht="15.75" customHeight="1">
      <c r="A271" s="16"/>
      <c r="Y271" s="16"/>
    </row>
    <row r="272" spans="1:25" ht="15.75" customHeight="1">
      <c r="A272" s="16"/>
      <c r="Y272" s="16"/>
    </row>
    <row r="273" spans="1:25" ht="15.75" customHeight="1">
      <c r="A273" s="16"/>
      <c r="Y273" s="16"/>
    </row>
    <row r="274" spans="1:25" ht="15.75" customHeight="1">
      <c r="A274" s="16"/>
      <c r="Y274" s="16"/>
    </row>
    <row r="275" spans="1:25" ht="15.75" customHeight="1">
      <c r="A275" s="16"/>
      <c r="Y275" s="16"/>
    </row>
    <row r="276" spans="1:25" ht="15.75" customHeight="1">
      <c r="A276" s="16"/>
      <c r="Y276" s="16"/>
    </row>
    <row r="277" spans="1:25" ht="15.75" customHeight="1">
      <c r="A277" s="16"/>
      <c r="Y277" s="16"/>
    </row>
    <row r="278" spans="1:25" ht="15.75" customHeight="1">
      <c r="A278" s="16"/>
      <c r="Y278" s="16"/>
    </row>
    <row r="279" spans="1:25" ht="15.75" customHeight="1">
      <c r="A279" s="16"/>
      <c r="Y279" s="16"/>
    </row>
    <row r="280" spans="1:25" ht="15.75" customHeight="1">
      <c r="A280" s="16"/>
      <c r="Y280" s="16"/>
    </row>
    <row r="281" spans="1:25" ht="15.75" customHeight="1">
      <c r="A281" s="16"/>
      <c r="Y281" s="16"/>
    </row>
    <row r="282" spans="1:25" ht="15.75" customHeight="1">
      <c r="A282" s="16"/>
      <c r="Y282" s="16"/>
    </row>
    <row r="283" spans="1:25" ht="15.75" customHeight="1">
      <c r="A283" s="16"/>
      <c r="Y283" s="16"/>
    </row>
    <row r="284" spans="1:25" ht="15.75" customHeight="1">
      <c r="A284" s="16"/>
      <c r="Y284" s="16"/>
    </row>
    <row r="285" spans="1:25" ht="15.75" customHeight="1">
      <c r="A285" s="16"/>
      <c r="Y285" s="16"/>
    </row>
    <row r="286" spans="1:25" ht="15.75" customHeight="1">
      <c r="A286" s="16"/>
      <c r="Y286" s="16"/>
    </row>
    <row r="287" spans="1:25" ht="15.75" customHeight="1">
      <c r="A287" s="16"/>
      <c r="Y287" s="16"/>
    </row>
    <row r="288" spans="1:25" ht="15.75" customHeight="1">
      <c r="A288" s="16"/>
      <c r="Y288" s="16"/>
    </row>
    <row r="289" spans="1:25" ht="15.75" customHeight="1">
      <c r="A289" s="16"/>
      <c r="Y289" s="16"/>
    </row>
    <row r="290" spans="1:25" ht="15.75" customHeight="1">
      <c r="A290" s="16"/>
      <c r="Y290" s="16"/>
    </row>
    <row r="291" spans="1:25" ht="15.75" customHeight="1">
      <c r="A291" s="16"/>
      <c r="Y291" s="16"/>
    </row>
    <row r="292" spans="1:25" ht="15.75" customHeight="1">
      <c r="A292" s="16"/>
      <c r="Y292" s="16"/>
    </row>
    <row r="293" spans="1:25" ht="15.75" customHeight="1">
      <c r="A293" s="16"/>
      <c r="Y293" s="16"/>
    </row>
    <row r="294" spans="1:25" ht="15.75" customHeight="1">
      <c r="A294" s="16"/>
      <c r="Y294" s="16"/>
    </row>
    <row r="295" spans="1:25" ht="15.75" customHeight="1">
      <c r="A295" s="16"/>
      <c r="Y295" s="16"/>
    </row>
    <row r="296" spans="1:25" ht="15.75" customHeight="1">
      <c r="A296" s="16"/>
      <c r="Y296" s="16"/>
    </row>
    <row r="297" spans="1:25" ht="15.75" customHeight="1">
      <c r="A297" s="16"/>
      <c r="Y297" s="16"/>
    </row>
    <row r="298" spans="1:25" ht="15.75" customHeight="1">
      <c r="A298" s="16"/>
      <c r="Y298" s="16"/>
    </row>
    <row r="299" spans="1:25" ht="15.75" customHeight="1">
      <c r="A299" s="16"/>
      <c r="Y299" s="16"/>
    </row>
    <row r="300" spans="1:25" ht="15.75" customHeight="1">
      <c r="A300" s="16"/>
      <c r="Y300" s="16"/>
    </row>
    <row r="301" spans="1:25" ht="15.75" customHeight="1">
      <c r="A301" s="16"/>
      <c r="Y301" s="16"/>
    </row>
    <row r="302" spans="1:25" ht="15.75" customHeight="1">
      <c r="A302" s="16"/>
      <c r="Y302" s="16"/>
    </row>
    <row r="303" spans="1:25" ht="15.75" customHeight="1">
      <c r="A303" s="16"/>
      <c r="Y303" s="16"/>
    </row>
    <row r="304" spans="1:25" ht="15.75" customHeight="1">
      <c r="A304" s="16"/>
      <c r="Y304" s="16"/>
    </row>
    <row r="305" spans="1:25" ht="15.75" customHeight="1">
      <c r="A305" s="16"/>
      <c r="Y305" s="16"/>
    </row>
    <row r="306" spans="1:25" ht="15.75" customHeight="1">
      <c r="A306" s="16"/>
      <c r="Y306" s="16"/>
    </row>
    <row r="307" spans="1:25" ht="15.75" customHeight="1">
      <c r="A307" s="16"/>
      <c r="Y307" s="16"/>
    </row>
    <row r="308" spans="1:25" ht="15.75" customHeight="1">
      <c r="A308" s="16"/>
      <c r="Y308" s="16"/>
    </row>
    <row r="309" spans="1:25" ht="15.75" customHeight="1">
      <c r="A309" s="16"/>
      <c r="Y309" s="16"/>
    </row>
    <row r="310" spans="1:25" ht="15.75" customHeight="1">
      <c r="A310" s="16"/>
      <c r="Y310" s="16"/>
    </row>
    <row r="311" spans="1:25" ht="15.75" customHeight="1">
      <c r="A311" s="16"/>
      <c r="Y311" s="16"/>
    </row>
    <row r="312" spans="1:25" ht="15.75" customHeight="1">
      <c r="A312" s="16"/>
      <c r="Y312" s="16"/>
    </row>
    <row r="313" spans="1:25" ht="15.75" customHeight="1">
      <c r="A313" s="16"/>
      <c r="Y313" s="16"/>
    </row>
    <row r="314" spans="1:25" ht="15.75" customHeight="1">
      <c r="A314" s="16"/>
      <c r="Y314" s="16"/>
    </row>
    <row r="315" spans="1:25" ht="15.75" customHeight="1">
      <c r="A315" s="16"/>
      <c r="Y315" s="16"/>
    </row>
    <row r="316" spans="1:25" ht="15.75" customHeight="1">
      <c r="A316" s="16"/>
      <c r="Y316" s="16"/>
    </row>
    <row r="317" spans="1:25" ht="15.75" customHeight="1">
      <c r="A317" s="16"/>
      <c r="Y317" s="16"/>
    </row>
    <row r="318" spans="1:25" ht="15.75" customHeight="1">
      <c r="A318" s="16"/>
      <c r="Y318" s="16"/>
    </row>
    <row r="319" spans="1:25" ht="15.75" customHeight="1">
      <c r="A319" s="16"/>
      <c r="Y319" s="16"/>
    </row>
    <row r="320" spans="1:25" ht="15.75" customHeight="1">
      <c r="A320" s="16"/>
      <c r="Y320" s="16"/>
    </row>
    <row r="321" spans="1:25" ht="15.75" customHeight="1">
      <c r="A321" s="16"/>
      <c r="Y321" s="16"/>
    </row>
    <row r="322" spans="1:25" ht="15.75" customHeight="1">
      <c r="A322" s="16"/>
      <c r="Y322" s="16"/>
    </row>
    <row r="323" spans="1:25" ht="15.75" customHeight="1">
      <c r="A323" s="16"/>
      <c r="Y323" s="16"/>
    </row>
    <row r="324" spans="1:25" ht="15.75" customHeight="1">
      <c r="A324" s="16"/>
      <c r="Y324" s="16"/>
    </row>
    <row r="325" spans="1:25" ht="15.75" customHeight="1">
      <c r="A325" s="16"/>
      <c r="Y325" s="16"/>
    </row>
    <row r="326" spans="1:25" ht="15.75" customHeight="1">
      <c r="A326" s="16"/>
      <c r="Y326" s="16"/>
    </row>
    <row r="327" spans="1:25" ht="15.75" customHeight="1">
      <c r="A327" s="16"/>
      <c r="Y327" s="16"/>
    </row>
    <row r="328" spans="1:25" ht="15.75" customHeight="1">
      <c r="A328" s="16"/>
      <c r="Y328" s="16"/>
    </row>
    <row r="329" spans="1:25" ht="15.75" customHeight="1">
      <c r="A329" s="16"/>
      <c r="Y329" s="16"/>
    </row>
    <row r="330" spans="1:25" ht="15.75" customHeight="1">
      <c r="A330" s="16"/>
      <c r="Y330" s="16"/>
    </row>
    <row r="331" spans="1:25" ht="15.75" customHeight="1">
      <c r="A331" s="16"/>
      <c r="Y331" s="16"/>
    </row>
    <row r="332" spans="1:25" ht="15.75" customHeight="1">
      <c r="A332" s="16"/>
      <c r="Y332" s="16"/>
    </row>
    <row r="333" spans="1:25" ht="15.75" customHeight="1">
      <c r="A333" s="16"/>
      <c r="Y333" s="16"/>
    </row>
    <row r="334" spans="1:25" ht="15.75" customHeight="1">
      <c r="A334" s="16"/>
      <c r="Y334" s="16"/>
    </row>
    <row r="335" spans="1:25" ht="15.75" customHeight="1">
      <c r="A335" s="16"/>
      <c r="Y335" s="16"/>
    </row>
    <row r="336" spans="1:25" ht="15.75" customHeight="1">
      <c r="A336" s="16"/>
      <c r="Y336" s="16"/>
    </row>
    <row r="337" spans="1:25" ht="15.75" customHeight="1">
      <c r="A337" s="16"/>
      <c r="Y337" s="16"/>
    </row>
    <row r="338" spans="1:25" ht="15.75" customHeight="1">
      <c r="A338" s="16"/>
      <c r="Y338" s="16"/>
    </row>
    <row r="339" spans="1:25" ht="15.75" customHeight="1">
      <c r="A339" s="16"/>
      <c r="Y339" s="16"/>
    </row>
    <row r="340" spans="1:25" ht="15.75" customHeight="1">
      <c r="A340" s="16"/>
      <c r="Y340" s="16"/>
    </row>
    <row r="341" spans="1:25" ht="15.75" customHeight="1">
      <c r="A341" s="16"/>
      <c r="Y341" s="16"/>
    </row>
    <row r="342" spans="1:25" ht="15.75" customHeight="1">
      <c r="A342" s="16"/>
      <c r="Y342" s="16"/>
    </row>
    <row r="343" spans="1:25" ht="15.75" customHeight="1">
      <c r="A343" s="16"/>
      <c r="Y343" s="16"/>
    </row>
    <row r="344" spans="1:25" ht="15.75" customHeight="1">
      <c r="A344" s="16"/>
      <c r="Y344" s="16"/>
    </row>
    <row r="345" spans="1:25" ht="15.75" customHeight="1">
      <c r="A345" s="16"/>
      <c r="Y345" s="16"/>
    </row>
    <row r="346" spans="1:25" ht="15.75" customHeight="1">
      <c r="A346" s="16"/>
      <c r="Y346" s="16"/>
    </row>
    <row r="347" spans="1:25" ht="15.75" customHeight="1">
      <c r="A347" s="16"/>
      <c r="Y347" s="16"/>
    </row>
    <row r="348" spans="1:25" ht="15.75" customHeight="1">
      <c r="A348" s="16"/>
      <c r="Y348" s="16"/>
    </row>
    <row r="349" spans="1:25" ht="15.75" customHeight="1">
      <c r="A349" s="16"/>
      <c r="Y349" s="16"/>
    </row>
    <row r="350" spans="1:25" ht="15.75" customHeight="1">
      <c r="A350" s="16"/>
      <c r="Y350" s="16"/>
    </row>
    <row r="351" spans="1:25" ht="15.75" customHeight="1">
      <c r="A351" s="16"/>
      <c r="Y351" s="16"/>
    </row>
    <row r="352" spans="1:25" ht="15.75" customHeight="1">
      <c r="A352" s="16"/>
      <c r="Y352" s="16"/>
    </row>
    <row r="353" spans="1:25" ht="15.75" customHeight="1">
      <c r="A353" s="16"/>
      <c r="Y353" s="16"/>
    </row>
    <row r="354" spans="1:25" ht="15.75" customHeight="1">
      <c r="A354" s="16"/>
      <c r="Y354" s="16"/>
    </row>
    <row r="355" spans="1:25" ht="15.75" customHeight="1">
      <c r="A355" s="16"/>
      <c r="Y355" s="16"/>
    </row>
    <row r="356" spans="1:25" ht="15.75" customHeight="1">
      <c r="A356" s="16"/>
      <c r="Y356" s="16"/>
    </row>
    <row r="357" spans="1:25" ht="15.75" customHeight="1">
      <c r="A357" s="16"/>
      <c r="Y357" s="16"/>
    </row>
    <row r="358" spans="1:25" ht="15.75" customHeight="1">
      <c r="A358" s="16"/>
      <c r="Y358" s="16"/>
    </row>
    <row r="359" spans="1:25" ht="15.75" customHeight="1">
      <c r="A359" s="16"/>
      <c r="Y359" s="16"/>
    </row>
    <row r="360" spans="1:25" ht="15.75" customHeight="1">
      <c r="A360" s="16"/>
      <c r="Y360" s="16"/>
    </row>
    <row r="361" spans="1:25" ht="15.75" customHeight="1">
      <c r="A361" s="16"/>
      <c r="Y361" s="16"/>
    </row>
    <row r="362" spans="1:25" ht="15.75" customHeight="1">
      <c r="A362" s="16"/>
      <c r="Y362" s="16"/>
    </row>
    <row r="363" spans="1:25" ht="15.75" customHeight="1">
      <c r="A363" s="16"/>
      <c r="Y363" s="16"/>
    </row>
    <row r="364" spans="1:25" ht="15.75" customHeight="1">
      <c r="A364" s="16"/>
      <c r="Y364" s="16"/>
    </row>
    <row r="365" spans="1:25" ht="15.75" customHeight="1">
      <c r="A365" s="16"/>
      <c r="Y365" s="16"/>
    </row>
    <row r="366" spans="1:25" ht="15.75" customHeight="1">
      <c r="A366" s="16"/>
      <c r="Y366" s="16"/>
    </row>
    <row r="367" spans="1:25" ht="15.75" customHeight="1">
      <c r="A367" s="16"/>
      <c r="Y367" s="16"/>
    </row>
    <row r="368" spans="1:25" ht="15.75" customHeight="1">
      <c r="A368" s="16"/>
      <c r="Y368" s="16"/>
    </row>
    <row r="369" spans="1:25" ht="15.75" customHeight="1">
      <c r="A369" s="16"/>
      <c r="Y369" s="16"/>
    </row>
    <row r="370" spans="1:25" ht="15.75" customHeight="1">
      <c r="A370" s="16"/>
      <c r="Y370" s="16"/>
    </row>
    <row r="371" spans="1:25" ht="15.75" customHeight="1">
      <c r="A371" s="16"/>
      <c r="Y371" s="16"/>
    </row>
    <row r="372" spans="1:25" ht="15.75" customHeight="1">
      <c r="A372" s="16"/>
      <c r="Y372" s="16"/>
    </row>
    <row r="373" spans="1:25" ht="15.75" customHeight="1">
      <c r="A373" s="16"/>
      <c r="Y373" s="16"/>
    </row>
    <row r="374" spans="1:25" ht="15.75" customHeight="1">
      <c r="A374" s="16"/>
      <c r="Y374" s="16"/>
    </row>
    <row r="375" spans="1:25" ht="15.75" customHeight="1">
      <c r="A375" s="16"/>
      <c r="Y375" s="16"/>
    </row>
    <row r="376" spans="1:25" ht="15.75" customHeight="1">
      <c r="A376" s="16"/>
      <c r="Y376" s="16"/>
    </row>
    <row r="377" spans="1:25" ht="15.75" customHeight="1">
      <c r="A377" s="16"/>
      <c r="Y377" s="16"/>
    </row>
    <row r="378" spans="1:25" ht="15.75" customHeight="1">
      <c r="A378" s="16"/>
      <c r="Y378" s="16"/>
    </row>
    <row r="379" spans="1:25" ht="15.75" customHeight="1">
      <c r="A379" s="16"/>
      <c r="Y379" s="16"/>
    </row>
    <row r="380" spans="1:25" ht="15.75" customHeight="1">
      <c r="A380" s="16"/>
      <c r="Y380" s="16"/>
    </row>
    <row r="381" spans="1:25" ht="15.75" customHeight="1">
      <c r="A381" s="16"/>
      <c r="Y381" s="16"/>
    </row>
    <row r="382" spans="1:25" ht="15.75" customHeight="1">
      <c r="A382" s="16"/>
      <c r="Y382" s="16"/>
    </row>
    <row r="383" spans="1:25" ht="15.75" customHeight="1">
      <c r="A383" s="16"/>
      <c r="Y383" s="16"/>
    </row>
    <row r="384" spans="1:25" ht="15.75" customHeight="1">
      <c r="A384" s="16"/>
      <c r="Y384" s="16"/>
    </row>
    <row r="385" spans="1:25" ht="15.75" customHeight="1">
      <c r="A385" s="16"/>
      <c r="Y385" s="16"/>
    </row>
    <row r="386" spans="1:25" ht="15.75" customHeight="1">
      <c r="A386" s="16"/>
      <c r="Y386" s="16"/>
    </row>
    <row r="387" spans="1:25" ht="15.75" customHeight="1">
      <c r="A387" s="16"/>
      <c r="Y387" s="16"/>
    </row>
    <row r="388" spans="1:25" ht="15.75" customHeight="1">
      <c r="A388" s="16"/>
      <c r="Y388" s="16"/>
    </row>
    <row r="389" spans="1:25" ht="15.75" customHeight="1">
      <c r="A389" s="16"/>
      <c r="Y389" s="16"/>
    </row>
    <row r="390" spans="1:25" ht="15.75" customHeight="1">
      <c r="A390" s="16"/>
      <c r="Y390" s="16"/>
    </row>
    <row r="391" spans="1:25" ht="15.75" customHeight="1">
      <c r="A391" s="16"/>
      <c r="Y391" s="16"/>
    </row>
    <row r="392" spans="1:25" ht="15.75" customHeight="1">
      <c r="A392" s="16"/>
      <c r="Y392" s="16"/>
    </row>
    <row r="393" spans="1:25" ht="15.75" customHeight="1">
      <c r="A393" s="16"/>
      <c r="Y393" s="16"/>
    </row>
    <row r="394" spans="1:25" ht="15.75" customHeight="1">
      <c r="A394" s="16"/>
      <c r="Y394" s="16"/>
    </row>
    <row r="395" spans="1:25" ht="15.75" customHeight="1">
      <c r="A395" s="16"/>
      <c r="Y395" s="16"/>
    </row>
    <row r="396" spans="1:25" ht="15.75" customHeight="1">
      <c r="A396" s="16"/>
      <c r="Y396" s="16"/>
    </row>
    <row r="397" spans="1:25" ht="15.75" customHeight="1">
      <c r="A397" s="16"/>
      <c r="Y397" s="16"/>
    </row>
    <row r="398" spans="1:25" ht="15.75" customHeight="1">
      <c r="A398" s="16"/>
      <c r="Y398" s="16"/>
    </row>
    <row r="399" spans="1:25" ht="15.75" customHeight="1">
      <c r="A399" s="16"/>
      <c r="Y399" s="16"/>
    </row>
    <row r="400" spans="1:25" ht="15.75" customHeight="1">
      <c r="A400" s="16"/>
      <c r="Y400" s="16"/>
    </row>
    <row r="401" spans="1:25" ht="15.75" customHeight="1">
      <c r="A401" s="16"/>
      <c r="Y401" s="16"/>
    </row>
    <row r="402" spans="1:25" ht="15.75" customHeight="1">
      <c r="A402" s="16"/>
      <c r="Y402" s="16"/>
    </row>
    <row r="403" spans="1:25" ht="15.75" customHeight="1">
      <c r="A403" s="16"/>
      <c r="Y403" s="16"/>
    </row>
    <row r="404" spans="1:25" ht="15.75" customHeight="1">
      <c r="A404" s="16"/>
      <c r="Y404" s="16"/>
    </row>
    <row r="405" spans="1:25" ht="15.75" customHeight="1">
      <c r="A405" s="16"/>
      <c r="Y405" s="16"/>
    </row>
    <row r="406" spans="1:25" ht="15.75" customHeight="1">
      <c r="A406" s="16"/>
      <c r="Y406" s="16"/>
    </row>
    <row r="407" spans="1:25" ht="15.75" customHeight="1">
      <c r="A407" s="16"/>
      <c r="Y407" s="16"/>
    </row>
    <row r="408" spans="1:25" ht="15.75" customHeight="1">
      <c r="A408" s="16"/>
      <c r="Y408" s="16"/>
    </row>
    <row r="409" spans="1:25" ht="15.75" customHeight="1">
      <c r="A409" s="16"/>
      <c r="Y409" s="16"/>
    </row>
    <row r="410" spans="1:25" ht="15.75" customHeight="1">
      <c r="A410" s="16"/>
      <c r="Y410" s="16"/>
    </row>
    <row r="411" spans="1:25" ht="15.75" customHeight="1">
      <c r="A411" s="16"/>
      <c r="Y411" s="16"/>
    </row>
    <row r="412" spans="1:25" ht="15.75" customHeight="1">
      <c r="A412" s="16"/>
      <c r="Y412" s="16"/>
    </row>
    <row r="413" spans="1:25" ht="15.75" customHeight="1">
      <c r="A413" s="16"/>
      <c r="Y413" s="16"/>
    </row>
    <row r="414" spans="1:25" ht="15.75" customHeight="1">
      <c r="A414" s="16"/>
      <c r="Y414" s="16"/>
    </row>
    <row r="415" spans="1:25" ht="15.75" customHeight="1">
      <c r="A415" s="16"/>
      <c r="Y415" s="16"/>
    </row>
    <row r="416" spans="1:25" ht="15.75" customHeight="1">
      <c r="A416" s="16"/>
      <c r="Y416" s="16"/>
    </row>
    <row r="417" spans="1:25" ht="15.75" customHeight="1">
      <c r="A417" s="16"/>
      <c r="Y417" s="16"/>
    </row>
    <row r="418" spans="1:25" ht="15.75" customHeight="1">
      <c r="A418" s="16"/>
      <c r="Y418" s="16"/>
    </row>
    <row r="419" spans="1:25" ht="15.75" customHeight="1">
      <c r="A419" s="16"/>
      <c r="Y419" s="16"/>
    </row>
    <row r="420" spans="1:25" ht="15.75" customHeight="1">
      <c r="A420" s="16"/>
      <c r="Y420" s="16"/>
    </row>
    <row r="421" spans="1:25" ht="15.75" customHeight="1">
      <c r="A421" s="16"/>
      <c r="Y421" s="16"/>
    </row>
    <row r="422" spans="1:25" ht="15.75" customHeight="1">
      <c r="A422" s="16"/>
      <c r="Y422" s="16"/>
    </row>
    <row r="423" spans="1:25" ht="15.75" customHeight="1">
      <c r="A423" s="16"/>
      <c r="Y423" s="16"/>
    </row>
    <row r="424" spans="1:25" ht="15.75" customHeight="1">
      <c r="A424" s="16"/>
      <c r="Y424" s="16"/>
    </row>
    <row r="425" spans="1:25" ht="15.75" customHeight="1">
      <c r="A425" s="16"/>
      <c r="Y425" s="16"/>
    </row>
    <row r="426" spans="1:25" ht="15.75" customHeight="1">
      <c r="A426" s="16"/>
      <c r="Y426" s="16"/>
    </row>
    <row r="427" spans="1:25" ht="15.75" customHeight="1">
      <c r="A427" s="16"/>
      <c r="Y427" s="16"/>
    </row>
    <row r="428" spans="1:25" ht="15.75" customHeight="1">
      <c r="A428" s="16"/>
      <c r="Y428" s="16"/>
    </row>
    <row r="429" spans="1:25" ht="15.75" customHeight="1">
      <c r="A429" s="16"/>
      <c r="Y429" s="16"/>
    </row>
    <row r="430" spans="1:25" ht="15.75" customHeight="1">
      <c r="A430" s="16"/>
      <c r="Y430" s="16"/>
    </row>
    <row r="431" spans="1:25" ht="15.75" customHeight="1">
      <c r="A431" s="16"/>
      <c r="Y431" s="16"/>
    </row>
    <row r="432" spans="1:25" ht="15.75" customHeight="1">
      <c r="A432" s="16"/>
      <c r="Y432" s="16"/>
    </row>
    <row r="433" spans="1:25" ht="15.75" customHeight="1">
      <c r="A433" s="16"/>
      <c r="Y433" s="16"/>
    </row>
    <row r="434" spans="1:25" ht="15.75" customHeight="1">
      <c r="A434" s="16"/>
      <c r="Y434" s="16"/>
    </row>
    <row r="435" spans="1:25" ht="15.75" customHeight="1">
      <c r="A435" s="16"/>
      <c r="Y435" s="16"/>
    </row>
    <row r="436" spans="1:25" ht="15.75" customHeight="1">
      <c r="A436" s="16"/>
      <c r="Y436" s="16"/>
    </row>
    <row r="437" spans="1:25" ht="15.75" customHeight="1">
      <c r="A437" s="16"/>
      <c r="Y437" s="16"/>
    </row>
    <row r="438" spans="1:25" ht="15.75" customHeight="1">
      <c r="A438" s="16"/>
      <c r="Y438" s="16"/>
    </row>
    <row r="439" spans="1:25" ht="15.75" customHeight="1">
      <c r="A439" s="16"/>
      <c r="Y439" s="16"/>
    </row>
    <row r="440" spans="1:25" ht="15.75" customHeight="1">
      <c r="A440" s="16"/>
      <c r="Y440" s="16"/>
    </row>
    <row r="441" spans="1:25" ht="15.75" customHeight="1">
      <c r="A441" s="16"/>
      <c r="Y441" s="16"/>
    </row>
    <row r="442" spans="1:25" ht="15.75" customHeight="1">
      <c r="A442" s="16"/>
      <c r="Y442" s="16"/>
    </row>
    <row r="443" spans="1:25" ht="15.75" customHeight="1">
      <c r="A443" s="16"/>
      <c r="Y443" s="16"/>
    </row>
    <row r="444" spans="1:25" ht="15.75" customHeight="1">
      <c r="A444" s="16"/>
      <c r="Y444" s="16"/>
    </row>
    <row r="445" spans="1:25" ht="15.75" customHeight="1">
      <c r="A445" s="16"/>
      <c r="Y445" s="16"/>
    </row>
    <row r="446" spans="1:25" ht="15.75" customHeight="1">
      <c r="A446" s="16"/>
      <c r="Y446" s="16"/>
    </row>
    <row r="447" spans="1:25" ht="15.75" customHeight="1">
      <c r="A447" s="16"/>
      <c r="Y447" s="16"/>
    </row>
    <row r="448" spans="1:25" ht="15.75" customHeight="1">
      <c r="A448" s="16"/>
      <c r="Y448" s="16"/>
    </row>
    <row r="449" spans="1:25" ht="15.75" customHeight="1">
      <c r="A449" s="16"/>
      <c r="Y449" s="16"/>
    </row>
    <row r="450" spans="1:25" ht="15.75" customHeight="1">
      <c r="A450" s="16"/>
      <c r="Y450" s="16"/>
    </row>
    <row r="451" spans="1:25" ht="15.75" customHeight="1">
      <c r="A451" s="16"/>
      <c r="Y451" s="16"/>
    </row>
    <row r="452" spans="1:25" ht="15.75" customHeight="1">
      <c r="A452" s="16"/>
      <c r="Y452" s="16"/>
    </row>
    <row r="453" spans="1:25" ht="15.75" customHeight="1">
      <c r="A453" s="16"/>
      <c r="Y453" s="16"/>
    </row>
    <row r="454" spans="1:25" ht="15.75" customHeight="1">
      <c r="A454" s="16"/>
      <c r="Y454" s="16"/>
    </row>
    <row r="455" spans="1:25" ht="15.75" customHeight="1">
      <c r="A455" s="16"/>
      <c r="Y455" s="16"/>
    </row>
    <row r="456" spans="1:25" ht="15.75" customHeight="1">
      <c r="A456" s="16"/>
      <c r="Y456" s="16"/>
    </row>
    <row r="457" spans="1:25" ht="15.75" customHeight="1">
      <c r="A457" s="16"/>
      <c r="Y457" s="16"/>
    </row>
    <row r="458" spans="1:25" ht="15.75" customHeight="1">
      <c r="A458" s="16"/>
      <c r="Y458" s="16"/>
    </row>
    <row r="459" spans="1:25" ht="15.75" customHeight="1">
      <c r="A459" s="16"/>
      <c r="Y459" s="16"/>
    </row>
    <row r="460" spans="1:25" ht="15.75" customHeight="1">
      <c r="A460" s="16"/>
      <c r="Y460" s="16"/>
    </row>
    <row r="461" spans="1:25" ht="15.75" customHeight="1">
      <c r="A461" s="16"/>
      <c r="Y461" s="16"/>
    </row>
    <row r="462" spans="1:25" ht="15.75" customHeight="1">
      <c r="A462" s="16"/>
      <c r="Y462" s="16"/>
    </row>
    <row r="463" spans="1:25" ht="15.75" customHeight="1">
      <c r="A463" s="16"/>
      <c r="Y463" s="16"/>
    </row>
    <row r="464" spans="1:25" ht="15.75" customHeight="1">
      <c r="A464" s="16"/>
      <c r="Y464" s="16"/>
    </row>
    <row r="465" spans="1:25" ht="15.75" customHeight="1">
      <c r="A465" s="16"/>
      <c r="Y465" s="16"/>
    </row>
    <row r="466" spans="1:25" ht="15.75" customHeight="1">
      <c r="A466" s="16"/>
      <c r="Y466" s="16"/>
    </row>
    <row r="467" spans="1:25" ht="15.75" customHeight="1">
      <c r="A467" s="16"/>
      <c r="Y467" s="16"/>
    </row>
    <row r="468" spans="1:25" ht="15.75" customHeight="1">
      <c r="A468" s="16"/>
      <c r="Y468" s="16"/>
    </row>
    <row r="469" spans="1:25" ht="15.75" customHeight="1">
      <c r="A469" s="16"/>
      <c r="Y469" s="16"/>
    </row>
    <row r="470" spans="1:25" ht="15.75" customHeight="1">
      <c r="A470" s="16"/>
      <c r="Y470" s="16"/>
    </row>
    <row r="471" spans="1:25" ht="15.75" customHeight="1">
      <c r="A471" s="16"/>
      <c r="Y471" s="16"/>
    </row>
    <row r="472" spans="1:25" ht="15.75" customHeight="1">
      <c r="A472" s="16"/>
      <c r="Y472" s="16"/>
    </row>
    <row r="473" spans="1:25" ht="15.75" customHeight="1">
      <c r="A473" s="16"/>
      <c r="Y473" s="16"/>
    </row>
    <row r="474" spans="1:25" ht="15.75" customHeight="1">
      <c r="A474" s="16"/>
      <c r="Y474" s="16"/>
    </row>
    <row r="475" spans="1:25" ht="15.75" customHeight="1">
      <c r="A475" s="16"/>
      <c r="Y475" s="16"/>
    </row>
    <row r="476" spans="1:25" ht="15.75" customHeight="1">
      <c r="A476" s="16"/>
      <c r="Y476" s="16"/>
    </row>
    <row r="477" spans="1:25" ht="15.75" customHeight="1">
      <c r="A477" s="16"/>
      <c r="Y477" s="16"/>
    </row>
    <row r="478" spans="1:25" ht="15.75" customHeight="1">
      <c r="A478" s="16"/>
      <c r="Y478" s="16"/>
    </row>
    <row r="479" spans="1:25" ht="15.75" customHeight="1">
      <c r="A479" s="16"/>
      <c r="Y479" s="16"/>
    </row>
    <row r="480" spans="1:25" ht="15.75" customHeight="1">
      <c r="A480" s="16"/>
      <c r="Y480" s="16"/>
    </row>
    <row r="481" spans="1:25" ht="15.75" customHeight="1">
      <c r="A481" s="16"/>
      <c r="Y481" s="16"/>
    </row>
    <row r="482" spans="1:25" ht="15.75" customHeight="1">
      <c r="A482" s="16"/>
      <c r="Y482" s="16"/>
    </row>
    <row r="483" spans="1:25" ht="15.75" customHeight="1">
      <c r="A483" s="16"/>
      <c r="Y483" s="16"/>
    </row>
    <row r="484" spans="1:25" ht="15.75" customHeight="1">
      <c r="A484" s="16"/>
      <c r="Y484" s="16"/>
    </row>
    <row r="485" spans="1:25" ht="15.75" customHeight="1">
      <c r="A485" s="16"/>
      <c r="Y485" s="16"/>
    </row>
    <row r="486" spans="1:25" ht="15.75" customHeight="1">
      <c r="A486" s="16"/>
      <c r="Y486" s="16"/>
    </row>
    <row r="487" spans="1:25" ht="15.75" customHeight="1">
      <c r="A487" s="16"/>
      <c r="Y487" s="16"/>
    </row>
    <row r="488" spans="1:25" ht="15.75" customHeight="1">
      <c r="A488" s="16"/>
      <c r="Y488" s="16"/>
    </row>
    <row r="489" spans="1:25" ht="15.75" customHeight="1">
      <c r="A489" s="16"/>
      <c r="Y489" s="16"/>
    </row>
    <row r="490" spans="1:25" ht="15.75" customHeight="1">
      <c r="A490" s="16"/>
      <c r="Y490" s="16"/>
    </row>
    <row r="491" spans="1:25" ht="15.75" customHeight="1">
      <c r="A491" s="16"/>
      <c r="Y491" s="16"/>
    </row>
    <row r="492" spans="1:25" ht="15.75" customHeight="1">
      <c r="A492" s="16"/>
      <c r="Y492" s="16"/>
    </row>
    <row r="493" spans="1:25" ht="15.75" customHeight="1">
      <c r="A493" s="16"/>
      <c r="Y493" s="16"/>
    </row>
    <row r="494" spans="1:25" ht="15.75" customHeight="1">
      <c r="A494" s="16"/>
      <c r="Y494" s="16"/>
    </row>
    <row r="495" spans="1:25" ht="15.75" customHeight="1">
      <c r="A495" s="16"/>
      <c r="Y495" s="16"/>
    </row>
    <row r="496" spans="1:25" ht="15.75" customHeight="1">
      <c r="A496" s="16"/>
      <c r="Y496" s="16"/>
    </row>
    <row r="497" spans="1:25" ht="15.75" customHeight="1">
      <c r="A497" s="16"/>
      <c r="Y497" s="16"/>
    </row>
    <row r="498" spans="1:25" ht="15.75" customHeight="1">
      <c r="A498" s="16"/>
      <c r="Y498" s="16"/>
    </row>
    <row r="499" spans="1:25" ht="15.75" customHeight="1">
      <c r="A499" s="16"/>
      <c r="Y499" s="16"/>
    </row>
    <row r="500" spans="1:25" ht="15.75" customHeight="1">
      <c r="A500" s="16"/>
      <c r="Y500" s="16"/>
    </row>
    <row r="501" spans="1:25" ht="15.75" customHeight="1">
      <c r="A501" s="16"/>
      <c r="Y501" s="16"/>
    </row>
    <row r="502" spans="1:25" ht="15.75" customHeight="1">
      <c r="A502" s="16"/>
      <c r="Y502" s="16"/>
    </row>
    <row r="503" spans="1:25" ht="15.75" customHeight="1">
      <c r="A503" s="16"/>
      <c r="Y503" s="16"/>
    </row>
    <row r="504" spans="1:25" ht="15.75" customHeight="1">
      <c r="A504" s="16"/>
      <c r="Y504" s="16"/>
    </row>
    <row r="505" spans="1:25" ht="15.75" customHeight="1">
      <c r="A505" s="16"/>
      <c r="Y505" s="16"/>
    </row>
    <row r="506" spans="1:25" ht="15.75" customHeight="1">
      <c r="A506" s="16"/>
      <c r="Y506" s="16"/>
    </row>
    <row r="507" spans="1:25" ht="15.75" customHeight="1">
      <c r="A507" s="16"/>
      <c r="Y507" s="16"/>
    </row>
    <row r="508" spans="1:25" ht="15.75" customHeight="1">
      <c r="A508" s="16"/>
      <c r="Y508" s="16"/>
    </row>
    <row r="509" spans="1:25" ht="15.75" customHeight="1">
      <c r="A509" s="16"/>
      <c r="Y509" s="16"/>
    </row>
    <row r="510" spans="1:25" ht="15.75" customHeight="1">
      <c r="A510" s="16"/>
      <c r="Y510" s="16"/>
    </row>
    <row r="511" spans="1:25" ht="15.75" customHeight="1">
      <c r="A511" s="16"/>
      <c r="Y511" s="16"/>
    </row>
    <row r="512" spans="1:25" ht="15.75" customHeight="1">
      <c r="A512" s="16"/>
      <c r="Y512" s="16"/>
    </row>
    <row r="513" spans="1:25" ht="15.75" customHeight="1">
      <c r="A513" s="16"/>
      <c r="Y513" s="16"/>
    </row>
    <row r="514" spans="1:25" ht="15.75" customHeight="1">
      <c r="A514" s="16"/>
      <c r="Y514" s="16"/>
    </row>
    <row r="515" spans="1:25" ht="15.75" customHeight="1">
      <c r="A515" s="16"/>
      <c r="Y515" s="16"/>
    </row>
    <row r="516" spans="1:25" ht="15.75" customHeight="1">
      <c r="A516" s="16"/>
      <c r="Y516" s="16"/>
    </row>
    <row r="517" spans="1:25" ht="15.75" customHeight="1">
      <c r="A517" s="16"/>
      <c r="Y517" s="16"/>
    </row>
    <row r="518" spans="1:25" ht="15.75" customHeight="1">
      <c r="A518" s="16"/>
      <c r="Y518" s="16"/>
    </row>
    <row r="519" spans="1:25" ht="15.75" customHeight="1">
      <c r="A519" s="16"/>
      <c r="Y519" s="16"/>
    </row>
    <row r="520" spans="1:25" ht="15.75" customHeight="1">
      <c r="A520" s="16"/>
      <c r="Y520" s="16"/>
    </row>
    <row r="521" spans="1:25" ht="15.75" customHeight="1">
      <c r="A521" s="16"/>
      <c r="Y521" s="16"/>
    </row>
    <row r="522" spans="1:25" ht="15.75" customHeight="1">
      <c r="A522" s="16"/>
      <c r="Y522" s="16"/>
    </row>
    <row r="523" spans="1:25" ht="15.75" customHeight="1">
      <c r="A523" s="16"/>
      <c r="Y523" s="16"/>
    </row>
    <row r="524" spans="1:25" ht="15.75" customHeight="1">
      <c r="A524" s="16"/>
      <c r="Y524" s="16"/>
    </row>
    <row r="525" spans="1:25" ht="15.75" customHeight="1">
      <c r="A525" s="16"/>
      <c r="Y525" s="16"/>
    </row>
    <row r="526" spans="1:25" ht="15.75" customHeight="1">
      <c r="A526" s="16"/>
      <c r="Y526" s="16"/>
    </row>
    <row r="527" spans="1:25" ht="15.75" customHeight="1">
      <c r="A527" s="16"/>
      <c r="Y527" s="16"/>
    </row>
    <row r="528" spans="1:25" ht="15.75" customHeight="1">
      <c r="A528" s="16"/>
      <c r="Y528" s="16"/>
    </row>
    <row r="529" spans="1:25" ht="15.75" customHeight="1">
      <c r="A529" s="16"/>
      <c r="Y529" s="16"/>
    </row>
    <row r="530" spans="1:25" ht="15.75" customHeight="1">
      <c r="A530" s="16"/>
      <c r="Y530" s="16"/>
    </row>
    <row r="531" spans="1:25" ht="15.75" customHeight="1">
      <c r="A531" s="16"/>
      <c r="Y531" s="16"/>
    </row>
    <row r="532" spans="1:25" ht="15.75" customHeight="1">
      <c r="A532" s="16"/>
      <c r="Y532" s="16"/>
    </row>
    <row r="533" spans="1:25" ht="15.75" customHeight="1">
      <c r="A533" s="16"/>
      <c r="Y533" s="16"/>
    </row>
    <row r="534" spans="1:25" ht="15.75" customHeight="1">
      <c r="A534" s="16"/>
      <c r="Y534" s="16"/>
    </row>
    <row r="535" spans="1:25" ht="15.75" customHeight="1">
      <c r="A535" s="16"/>
      <c r="Y535" s="16"/>
    </row>
    <row r="536" spans="1:25" ht="15.75" customHeight="1">
      <c r="A536" s="16"/>
      <c r="Y536" s="16"/>
    </row>
    <row r="537" spans="1:25" ht="15.75" customHeight="1">
      <c r="A537" s="16"/>
      <c r="Y537" s="16"/>
    </row>
    <row r="538" spans="1:25" ht="15.75" customHeight="1">
      <c r="A538" s="16"/>
      <c r="Y538" s="16"/>
    </row>
    <row r="539" spans="1:25" ht="15.75" customHeight="1">
      <c r="A539" s="16"/>
      <c r="Y539" s="16"/>
    </row>
    <row r="540" spans="1:25" ht="15.75" customHeight="1">
      <c r="A540" s="16"/>
      <c r="Y540" s="16"/>
    </row>
    <row r="541" spans="1:25" ht="15.75" customHeight="1">
      <c r="A541" s="16"/>
      <c r="Y541" s="16"/>
    </row>
    <row r="542" spans="1:25" ht="15.75" customHeight="1">
      <c r="A542" s="16"/>
      <c r="Y542" s="16"/>
    </row>
    <row r="543" spans="1:25" ht="15.75" customHeight="1">
      <c r="A543" s="16"/>
      <c r="Y543" s="16"/>
    </row>
    <row r="544" spans="1:25" ht="15.75" customHeight="1">
      <c r="A544" s="16"/>
      <c r="Y544" s="16"/>
    </row>
    <row r="545" spans="1:25" ht="15.75" customHeight="1">
      <c r="A545" s="16"/>
      <c r="Y545" s="16"/>
    </row>
    <row r="546" spans="1:25" ht="15.75" customHeight="1">
      <c r="A546" s="16"/>
      <c r="Y546" s="16"/>
    </row>
    <row r="547" spans="1:25" ht="15.75" customHeight="1">
      <c r="A547" s="16"/>
      <c r="Y547" s="16"/>
    </row>
    <row r="548" spans="1:25" ht="15.75" customHeight="1">
      <c r="A548" s="16"/>
      <c r="Y548" s="16"/>
    </row>
    <row r="549" spans="1:25" ht="15.75" customHeight="1">
      <c r="A549" s="16"/>
      <c r="Y549" s="16"/>
    </row>
    <row r="550" spans="1:25" ht="15.75" customHeight="1">
      <c r="A550" s="16"/>
      <c r="Y550" s="16"/>
    </row>
    <row r="551" spans="1:25" ht="15.75" customHeight="1">
      <c r="A551" s="16"/>
      <c r="Y551" s="16"/>
    </row>
    <row r="552" spans="1:25" ht="15.75" customHeight="1">
      <c r="A552" s="16"/>
      <c r="Y552" s="16"/>
    </row>
    <row r="553" spans="1:25" ht="15.75" customHeight="1">
      <c r="A553" s="16"/>
      <c r="Y553" s="16"/>
    </row>
    <row r="554" spans="1:25" ht="15.75" customHeight="1">
      <c r="A554" s="16"/>
      <c r="Y554" s="16"/>
    </row>
    <row r="555" spans="1:25" ht="15.75" customHeight="1">
      <c r="A555" s="16"/>
      <c r="Y555" s="16"/>
    </row>
    <row r="556" spans="1:25" ht="15.75" customHeight="1">
      <c r="A556" s="16"/>
      <c r="Y556" s="16"/>
    </row>
    <row r="557" spans="1:25" ht="15.75" customHeight="1">
      <c r="A557" s="16"/>
      <c r="Y557" s="16"/>
    </row>
    <row r="558" spans="1:25" ht="15.75" customHeight="1">
      <c r="A558" s="16"/>
      <c r="Y558" s="16"/>
    </row>
    <row r="559" spans="1:25" ht="15.75" customHeight="1">
      <c r="A559" s="16"/>
      <c r="Y559" s="16"/>
    </row>
    <row r="560" spans="1:25" ht="15.75" customHeight="1">
      <c r="A560" s="16"/>
      <c r="Y560" s="16"/>
    </row>
    <row r="561" spans="1:25" ht="15.75" customHeight="1">
      <c r="A561" s="16"/>
      <c r="Y561" s="16"/>
    </row>
    <row r="562" spans="1:25" ht="15.75" customHeight="1">
      <c r="A562" s="16"/>
      <c r="Y562" s="16"/>
    </row>
    <row r="563" spans="1:25" ht="15.75" customHeight="1">
      <c r="A563" s="16"/>
      <c r="Y563" s="16"/>
    </row>
    <row r="564" spans="1:25" ht="15.75" customHeight="1">
      <c r="A564" s="16"/>
      <c r="Y564" s="16"/>
    </row>
    <row r="565" spans="1:25" ht="15.75" customHeight="1">
      <c r="A565" s="16"/>
      <c r="Y565" s="16"/>
    </row>
    <row r="566" spans="1:25" ht="15.75" customHeight="1">
      <c r="A566" s="16"/>
      <c r="Y566" s="16"/>
    </row>
    <row r="567" spans="1:25" ht="15.75" customHeight="1">
      <c r="A567" s="16"/>
      <c r="Y567" s="16"/>
    </row>
    <row r="568" spans="1:25" ht="15.75" customHeight="1">
      <c r="A568" s="16"/>
      <c r="Y568" s="16"/>
    </row>
    <row r="569" spans="1:25" ht="15.75" customHeight="1">
      <c r="A569" s="16"/>
      <c r="Y569" s="16"/>
    </row>
    <row r="570" spans="1:25" ht="15.75" customHeight="1">
      <c r="A570" s="16"/>
      <c r="Y570" s="16"/>
    </row>
    <row r="571" spans="1:25" ht="15.75" customHeight="1">
      <c r="A571" s="16"/>
      <c r="Y571" s="16"/>
    </row>
    <row r="572" spans="1:25" ht="15.75" customHeight="1">
      <c r="A572" s="16"/>
      <c r="Y572" s="16"/>
    </row>
    <row r="573" spans="1:25" ht="15.75" customHeight="1">
      <c r="A573" s="16"/>
      <c r="Y573" s="16"/>
    </row>
    <row r="574" spans="1:25" ht="15.75" customHeight="1">
      <c r="A574" s="16"/>
      <c r="Y574" s="16"/>
    </row>
    <row r="575" spans="1:25" ht="15.75" customHeight="1">
      <c r="A575" s="16"/>
      <c r="Y575" s="16"/>
    </row>
    <row r="576" spans="1:25" ht="15.75" customHeight="1">
      <c r="A576" s="16"/>
      <c r="Y576" s="16"/>
    </row>
    <row r="577" spans="1:25" ht="15.75" customHeight="1">
      <c r="A577" s="16"/>
      <c r="Y577" s="16"/>
    </row>
    <row r="578" spans="1:25" ht="15.75" customHeight="1">
      <c r="A578" s="16"/>
      <c r="Y578" s="16"/>
    </row>
    <row r="579" spans="1:25" ht="15.75" customHeight="1">
      <c r="A579" s="16"/>
      <c r="Y579" s="16"/>
    </row>
    <row r="580" spans="1:25" ht="15.75" customHeight="1">
      <c r="A580" s="16"/>
      <c r="Y580" s="16"/>
    </row>
    <row r="581" spans="1:25" ht="15.75" customHeight="1">
      <c r="A581" s="16"/>
      <c r="Y581" s="16"/>
    </row>
    <row r="582" spans="1:25" ht="15.75" customHeight="1">
      <c r="A582" s="16"/>
      <c r="Y582" s="16"/>
    </row>
    <row r="583" spans="1:25" ht="15.75" customHeight="1">
      <c r="A583" s="16"/>
      <c r="Y583" s="16"/>
    </row>
    <row r="584" spans="1:25" ht="15.75" customHeight="1">
      <c r="A584" s="16"/>
      <c r="Y584" s="16"/>
    </row>
    <row r="585" spans="1:25" ht="15.75" customHeight="1">
      <c r="A585" s="16"/>
      <c r="Y585" s="16"/>
    </row>
    <row r="586" spans="1:25" ht="15.75" customHeight="1">
      <c r="A586" s="16"/>
      <c r="Y586" s="16"/>
    </row>
    <row r="587" spans="1:25" ht="15.75" customHeight="1">
      <c r="A587" s="16"/>
      <c r="Y587" s="16"/>
    </row>
    <row r="588" spans="1:25" ht="15.75" customHeight="1">
      <c r="A588" s="16"/>
      <c r="Y588" s="16"/>
    </row>
    <row r="589" spans="1:25" ht="15.75" customHeight="1">
      <c r="A589" s="16"/>
      <c r="Y589" s="16"/>
    </row>
    <row r="590" spans="1:25" ht="15.75" customHeight="1">
      <c r="A590" s="16"/>
      <c r="Y590" s="16"/>
    </row>
    <row r="591" spans="1:25" ht="15.75" customHeight="1">
      <c r="A591" s="16"/>
      <c r="Y591" s="16"/>
    </row>
    <row r="592" spans="1:25" ht="15.75" customHeight="1">
      <c r="A592" s="16"/>
      <c r="Y592" s="16"/>
    </row>
    <row r="593" spans="1:25" ht="15.75" customHeight="1">
      <c r="A593" s="16"/>
      <c r="Y593" s="16"/>
    </row>
    <row r="594" spans="1:25" ht="15.75" customHeight="1">
      <c r="A594" s="16"/>
      <c r="Y594" s="16"/>
    </row>
    <row r="595" spans="1:25" ht="15.75" customHeight="1">
      <c r="A595" s="16"/>
      <c r="Y595" s="16"/>
    </row>
    <row r="596" spans="1:25" ht="15.75" customHeight="1">
      <c r="A596" s="16"/>
      <c r="Y596" s="16"/>
    </row>
    <row r="597" spans="1:25" ht="15.75" customHeight="1">
      <c r="A597" s="16"/>
      <c r="Y597" s="16"/>
    </row>
    <row r="598" spans="1:25" ht="15.75" customHeight="1">
      <c r="A598" s="16"/>
      <c r="Y598" s="16"/>
    </row>
    <row r="599" spans="1:25" ht="15.75" customHeight="1">
      <c r="A599" s="16"/>
      <c r="Y599" s="16"/>
    </row>
    <row r="600" spans="1:25" ht="15.75" customHeight="1">
      <c r="A600" s="16"/>
      <c r="Y600" s="16"/>
    </row>
    <row r="601" spans="1:25" ht="15.75" customHeight="1">
      <c r="A601" s="16"/>
      <c r="Y601" s="16"/>
    </row>
    <row r="602" spans="1:25" ht="15.75" customHeight="1">
      <c r="A602" s="16"/>
      <c r="Y602" s="16"/>
    </row>
    <row r="603" spans="1:25" ht="15.75" customHeight="1">
      <c r="A603" s="16"/>
      <c r="Y603" s="16"/>
    </row>
    <row r="604" spans="1:25" ht="15.75" customHeight="1">
      <c r="A604" s="16"/>
      <c r="Y604" s="16"/>
    </row>
    <row r="605" spans="1:25" ht="15.75" customHeight="1">
      <c r="A605" s="16"/>
      <c r="Y605" s="16"/>
    </row>
    <row r="606" spans="1:25" ht="15.75" customHeight="1">
      <c r="A606" s="16"/>
      <c r="Y606" s="16"/>
    </row>
    <row r="607" spans="1:25" ht="15.75" customHeight="1">
      <c r="A607" s="16"/>
      <c r="Y607" s="16"/>
    </row>
    <row r="608" spans="1:25" ht="15.75" customHeight="1">
      <c r="A608" s="16"/>
      <c r="Y608" s="16"/>
    </row>
    <row r="609" spans="1:25" ht="15.75" customHeight="1">
      <c r="A609" s="16"/>
      <c r="Y609" s="16"/>
    </row>
    <row r="610" spans="1:25" ht="15.75" customHeight="1">
      <c r="A610" s="16"/>
      <c r="Y610" s="16"/>
    </row>
    <row r="611" spans="1:25" ht="15.75" customHeight="1">
      <c r="A611" s="16"/>
      <c r="Y611" s="16"/>
    </row>
    <row r="612" spans="1:25" ht="15.75" customHeight="1">
      <c r="A612" s="16"/>
      <c r="Y612" s="16"/>
    </row>
    <row r="613" spans="1:25" ht="15.75" customHeight="1">
      <c r="A613" s="16"/>
      <c r="Y613" s="16"/>
    </row>
    <row r="614" spans="1:25" ht="15.75" customHeight="1">
      <c r="A614" s="16"/>
      <c r="Y614" s="16"/>
    </row>
    <row r="615" spans="1:25" ht="15.75" customHeight="1">
      <c r="A615" s="16"/>
      <c r="Y615" s="16"/>
    </row>
    <row r="616" spans="1:25" ht="15.75" customHeight="1">
      <c r="A616" s="16"/>
      <c r="Y616" s="16"/>
    </row>
    <row r="617" spans="1:25" ht="15.75" customHeight="1">
      <c r="A617" s="16"/>
      <c r="Y617" s="16"/>
    </row>
    <row r="618" spans="1:25" ht="15.75" customHeight="1">
      <c r="A618" s="16"/>
      <c r="Y618" s="16"/>
    </row>
    <row r="619" spans="1:25" ht="15.75" customHeight="1">
      <c r="A619" s="16"/>
      <c r="Y619" s="16"/>
    </row>
    <row r="620" spans="1:25" ht="15.75" customHeight="1">
      <c r="A620" s="16"/>
      <c r="Y620" s="16"/>
    </row>
    <row r="621" spans="1:25" ht="15.75" customHeight="1">
      <c r="A621" s="16"/>
      <c r="Y621" s="16"/>
    </row>
    <row r="622" spans="1:25" ht="15.75" customHeight="1">
      <c r="A622" s="16"/>
      <c r="Y622" s="16"/>
    </row>
    <row r="623" spans="1:25" ht="15.75" customHeight="1">
      <c r="A623" s="16"/>
      <c r="Y623" s="16"/>
    </row>
    <row r="624" spans="1:25" ht="15.75" customHeight="1">
      <c r="A624" s="16"/>
      <c r="Y624" s="16"/>
    </row>
    <row r="625" spans="1:25" ht="15.75" customHeight="1">
      <c r="A625" s="16"/>
      <c r="Y625" s="16"/>
    </row>
    <row r="626" spans="1:25" ht="15.75" customHeight="1">
      <c r="A626" s="16"/>
      <c r="Y626" s="16"/>
    </row>
    <row r="627" spans="1:25" ht="15.75" customHeight="1">
      <c r="A627" s="16"/>
      <c r="Y627" s="16"/>
    </row>
    <row r="628" spans="1:25" ht="15.75" customHeight="1">
      <c r="A628" s="16"/>
      <c r="Y628" s="16"/>
    </row>
    <row r="629" spans="1:25" ht="15.75" customHeight="1">
      <c r="A629" s="16"/>
      <c r="Y629" s="16"/>
    </row>
    <row r="630" spans="1:25" ht="15.75" customHeight="1">
      <c r="A630" s="16"/>
      <c r="Y630" s="16"/>
    </row>
    <row r="631" spans="1:25" ht="15.75" customHeight="1">
      <c r="A631" s="16"/>
      <c r="Y631" s="16"/>
    </row>
    <row r="632" spans="1:25" ht="15.75" customHeight="1">
      <c r="A632" s="16"/>
      <c r="Y632" s="16"/>
    </row>
    <row r="633" spans="1:25" ht="15.75" customHeight="1">
      <c r="A633" s="16"/>
      <c r="Y633" s="16"/>
    </row>
    <row r="634" spans="1:25" ht="15.75" customHeight="1">
      <c r="A634" s="16"/>
      <c r="Y634" s="16"/>
    </row>
    <row r="635" spans="1:25" ht="15.75" customHeight="1">
      <c r="A635" s="16"/>
      <c r="Y635" s="16"/>
    </row>
    <row r="636" spans="1:25" ht="15.75" customHeight="1">
      <c r="A636" s="16"/>
      <c r="Y636" s="16"/>
    </row>
    <row r="637" spans="1:25" ht="15.75" customHeight="1">
      <c r="A637" s="16"/>
      <c r="Y637" s="16"/>
    </row>
    <row r="638" spans="1:25" ht="15.75" customHeight="1">
      <c r="A638" s="16"/>
      <c r="Y638" s="16"/>
    </row>
    <row r="639" spans="1:25" ht="15.75" customHeight="1">
      <c r="A639" s="16"/>
      <c r="Y639" s="16"/>
    </row>
    <row r="640" spans="1:25" ht="15.75" customHeight="1">
      <c r="A640" s="16"/>
      <c r="Y640" s="16"/>
    </row>
    <row r="641" spans="1:25" ht="15.75" customHeight="1">
      <c r="A641" s="16"/>
      <c r="Y641" s="16"/>
    </row>
    <row r="642" spans="1:25" ht="15.75" customHeight="1">
      <c r="A642" s="16"/>
      <c r="Y642" s="16"/>
    </row>
    <row r="643" spans="1:25" ht="15.75" customHeight="1">
      <c r="A643" s="16"/>
      <c r="Y643" s="16"/>
    </row>
    <row r="644" spans="1:25" ht="15.75" customHeight="1">
      <c r="A644" s="16"/>
      <c r="Y644" s="16"/>
    </row>
    <row r="645" spans="1:25" ht="15.75" customHeight="1">
      <c r="A645" s="16"/>
      <c r="Y645" s="16"/>
    </row>
    <row r="646" spans="1:25" ht="15.75" customHeight="1">
      <c r="A646" s="16"/>
      <c r="Y646" s="16"/>
    </row>
    <row r="647" spans="1:25" ht="15.75" customHeight="1">
      <c r="A647" s="16"/>
      <c r="Y647" s="16"/>
    </row>
    <row r="648" spans="1:25" ht="15.75" customHeight="1">
      <c r="A648" s="16"/>
      <c r="Y648" s="16"/>
    </row>
    <row r="649" spans="1:25" ht="15.75" customHeight="1">
      <c r="A649" s="16"/>
      <c r="Y649" s="16"/>
    </row>
    <row r="650" spans="1:25" ht="15.75" customHeight="1">
      <c r="A650" s="16"/>
      <c r="Y650" s="16"/>
    </row>
    <row r="651" spans="1:25" ht="15.75" customHeight="1">
      <c r="A651" s="16"/>
      <c r="Y651" s="16"/>
    </row>
    <row r="652" spans="1:25" ht="15.75" customHeight="1">
      <c r="A652" s="16"/>
      <c r="Y652" s="16"/>
    </row>
    <row r="653" spans="1:25" ht="15.75" customHeight="1">
      <c r="A653" s="16"/>
      <c r="Y653" s="16"/>
    </row>
    <row r="654" spans="1:25" ht="15.75" customHeight="1">
      <c r="A654" s="16"/>
      <c r="Y654" s="16"/>
    </row>
    <row r="655" spans="1:25" ht="15.75" customHeight="1">
      <c r="A655" s="16"/>
      <c r="Y655" s="16"/>
    </row>
    <row r="656" spans="1:25" ht="15.75" customHeight="1">
      <c r="A656" s="16"/>
      <c r="Y656" s="16"/>
    </row>
    <row r="657" spans="1:25" ht="15.75" customHeight="1">
      <c r="A657" s="16"/>
      <c r="Y657" s="16"/>
    </row>
    <row r="658" spans="1:25" ht="15.75" customHeight="1">
      <c r="A658" s="16"/>
      <c r="Y658" s="16"/>
    </row>
    <row r="659" spans="1:25" ht="15.75" customHeight="1">
      <c r="A659" s="16"/>
      <c r="Y659" s="16"/>
    </row>
    <row r="660" spans="1:25" ht="15.75" customHeight="1">
      <c r="A660" s="16"/>
      <c r="Y660" s="16"/>
    </row>
    <row r="661" spans="1:25" ht="15.75" customHeight="1">
      <c r="A661" s="16"/>
      <c r="Y661" s="16"/>
    </row>
    <row r="662" spans="1:25" ht="15.75" customHeight="1">
      <c r="A662" s="16"/>
      <c r="Y662" s="16"/>
    </row>
    <row r="663" spans="1:25" ht="15.75" customHeight="1">
      <c r="A663" s="16"/>
      <c r="Y663" s="16"/>
    </row>
    <row r="664" spans="1:25" ht="15.75" customHeight="1">
      <c r="A664" s="16"/>
      <c r="Y664" s="16"/>
    </row>
    <row r="665" spans="1:25" ht="15.75" customHeight="1">
      <c r="A665" s="16"/>
      <c r="Y665" s="16"/>
    </row>
    <row r="666" spans="1:25" ht="15.75" customHeight="1">
      <c r="A666" s="16"/>
      <c r="Y666" s="16"/>
    </row>
    <row r="667" spans="1:25" ht="15.75" customHeight="1">
      <c r="A667" s="16"/>
      <c r="Y667" s="16"/>
    </row>
    <row r="668" spans="1:25" ht="15.75" customHeight="1">
      <c r="A668" s="16"/>
      <c r="Y668" s="16"/>
    </row>
    <row r="669" spans="1:25" ht="15.75" customHeight="1">
      <c r="A669" s="16"/>
      <c r="Y669" s="16"/>
    </row>
    <row r="670" spans="1:25" ht="15.75" customHeight="1">
      <c r="A670" s="16"/>
      <c r="Y670" s="16"/>
    </row>
    <row r="671" spans="1:25" ht="15.75" customHeight="1">
      <c r="A671" s="16"/>
      <c r="Y671" s="16"/>
    </row>
    <row r="672" spans="1:25" ht="15.75" customHeight="1">
      <c r="A672" s="16"/>
      <c r="Y672" s="16"/>
    </row>
    <row r="673" spans="1:25" ht="15.75" customHeight="1">
      <c r="A673" s="16"/>
      <c r="Y673" s="16"/>
    </row>
    <row r="674" spans="1:25" ht="15.75" customHeight="1">
      <c r="A674" s="16"/>
      <c r="Y674" s="16"/>
    </row>
    <row r="675" spans="1:25" ht="15.75" customHeight="1">
      <c r="A675" s="16"/>
      <c r="Y675" s="16"/>
    </row>
    <row r="676" spans="1:25" ht="15.75" customHeight="1">
      <c r="A676" s="16"/>
      <c r="Y676" s="16"/>
    </row>
    <row r="677" spans="1:25" ht="15.75" customHeight="1">
      <c r="A677" s="16"/>
      <c r="Y677" s="16"/>
    </row>
    <row r="678" spans="1:25" ht="15.75" customHeight="1">
      <c r="A678" s="16"/>
      <c r="Y678" s="16"/>
    </row>
    <row r="679" spans="1:25" ht="15.75" customHeight="1">
      <c r="A679" s="16"/>
      <c r="Y679" s="16"/>
    </row>
    <row r="680" spans="1:25" ht="15.75" customHeight="1">
      <c r="A680" s="16"/>
      <c r="Y680" s="16"/>
    </row>
    <row r="681" spans="1:25" ht="15.75" customHeight="1">
      <c r="A681" s="16"/>
      <c r="Y681" s="16"/>
    </row>
    <row r="682" spans="1:25" ht="15.75" customHeight="1">
      <c r="A682" s="16"/>
      <c r="Y682" s="16"/>
    </row>
    <row r="683" spans="1:25" ht="15.75" customHeight="1">
      <c r="A683" s="16"/>
      <c r="Y683" s="16"/>
    </row>
    <row r="684" spans="1:25" ht="15.75" customHeight="1">
      <c r="A684" s="16"/>
      <c r="Y684" s="16"/>
    </row>
    <row r="685" spans="1:25" ht="15.75" customHeight="1">
      <c r="A685" s="16"/>
      <c r="Y685" s="16"/>
    </row>
    <row r="686" spans="1:25" ht="15.75" customHeight="1">
      <c r="A686" s="16"/>
      <c r="Y686" s="16"/>
    </row>
    <row r="687" spans="1:25" ht="15.75" customHeight="1">
      <c r="A687" s="16"/>
      <c r="Y687" s="16"/>
    </row>
    <row r="688" spans="1:25" ht="15.75" customHeight="1">
      <c r="A688" s="16"/>
      <c r="Y688" s="16"/>
    </row>
    <row r="689" spans="1:25" ht="15.75" customHeight="1">
      <c r="A689" s="16"/>
      <c r="Y689" s="16"/>
    </row>
    <row r="690" spans="1:25" ht="15.75" customHeight="1">
      <c r="A690" s="16"/>
      <c r="Y690" s="16"/>
    </row>
    <row r="691" spans="1:25" ht="15.75" customHeight="1">
      <c r="A691" s="16"/>
      <c r="Y691" s="16"/>
    </row>
    <row r="692" spans="1:25" ht="15.75" customHeight="1">
      <c r="A692" s="16"/>
      <c r="Y692" s="16"/>
    </row>
    <row r="693" spans="1:25" ht="15.75" customHeight="1">
      <c r="A693" s="16"/>
      <c r="Y693" s="16"/>
    </row>
    <row r="694" spans="1:25" ht="15.75" customHeight="1">
      <c r="A694" s="16"/>
      <c r="Y694" s="16"/>
    </row>
    <row r="695" spans="1:25" ht="15.75" customHeight="1">
      <c r="A695" s="16"/>
      <c r="Y695" s="16"/>
    </row>
    <row r="696" spans="1:25" ht="15.75" customHeight="1">
      <c r="A696" s="16"/>
      <c r="Y696" s="16"/>
    </row>
    <row r="697" spans="1:25" ht="15.75" customHeight="1">
      <c r="A697" s="16"/>
      <c r="Y697" s="16"/>
    </row>
    <row r="698" spans="1:25" ht="15.75" customHeight="1">
      <c r="A698" s="16"/>
      <c r="Y698" s="16"/>
    </row>
    <row r="699" spans="1:25" ht="15.75" customHeight="1">
      <c r="A699" s="16"/>
      <c r="Y699" s="16"/>
    </row>
    <row r="700" spans="1:25" ht="15.75" customHeight="1">
      <c r="A700" s="16"/>
      <c r="Y700" s="16"/>
    </row>
    <row r="701" spans="1:25" ht="15.75" customHeight="1">
      <c r="A701" s="16"/>
      <c r="Y701" s="16"/>
    </row>
    <row r="702" spans="1:25" ht="15.75" customHeight="1">
      <c r="A702" s="16"/>
      <c r="Y702" s="16"/>
    </row>
    <row r="703" spans="1:25" ht="15.75" customHeight="1">
      <c r="A703" s="16"/>
      <c r="Y703" s="16"/>
    </row>
    <row r="704" spans="1:25" ht="15.75" customHeight="1">
      <c r="A704" s="16"/>
      <c r="Y704" s="16"/>
    </row>
    <row r="705" spans="1:25" ht="15.75" customHeight="1">
      <c r="A705" s="16"/>
      <c r="Y705" s="16"/>
    </row>
    <row r="706" spans="1:25" ht="15.75" customHeight="1">
      <c r="A706" s="16"/>
      <c r="Y706" s="16"/>
    </row>
    <row r="707" spans="1:25" ht="15.75" customHeight="1">
      <c r="A707" s="16"/>
      <c r="Y707" s="16"/>
    </row>
    <row r="708" spans="1:25" ht="15.75" customHeight="1">
      <c r="A708" s="16"/>
      <c r="Y708" s="16"/>
    </row>
    <row r="709" spans="1:25" ht="15.75" customHeight="1">
      <c r="A709" s="16"/>
      <c r="Y709" s="16"/>
    </row>
    <row r="710" spans="1:25" ht="15.75" customHeight="1">
      <c r="A710" s="16"/>
      <c r="Y710" s="16"/>
    </row>
    <row r="711" spans="1:25" ht="15.75" customHeight="1">
      <c r="A711" s="16"/>
      <c r="Y711" s="16"/>
    </row>
    <row r="712" spans="1:25" ht="15.75" customHeight="1">
      <c r="A712" s="16"/>
      <c r="Y712" s="16"/>
    </row>
    <row r="713" spans="1:25" ht="15.75" customHeight="1">
      <c r="A713" s="16"/>
      <c r="Y713" s="16"/>
    </row>
    <row r="714" spans="1:25" ht="15.75" customHeight="1">
      <c r="A714" s="16"/>
      <c r="Y714" s="16"/>
    </row>
    <row r="715" spans="1:25" ht="15.75" customHeight="1">
      <c r="A715" s="16"/>
      <c r="Y715" s="16"/>
    </row>
    <row r="716" spans="1:25" ht="15.75" customHeight="1">
      <c r="A716" s="16"/>
      <c r="Y716" s="16"/>
    </row>
    <row r="717" spans="1:25" ht="15.75" customHeight="1">
      <c r="A717" s="16"/>
      <c r="Y717" s="16"/>
    </row>
    <row r="718" spans="1:25" ht="15.75" customHeight="1">
      <c r="A718" s="16"/>
      <c r="Y718" s="16"/>
    </row>
    <row r="719" spans="1:25" ht="15.75" customHeight="1">
      <c r="A719" s="16"/>
      <c r="Y719" s="16"/>
    </row>
    <row r="720" spans="1:25" ht="15.75" customHeight="1">
      <c r="A720" s="16"/>
      <c r="Y720" s="16"/>
    </row>
    <row r="721" spans="1:25" ht="15.75" customHeight="1">
      <c r="A721" s="16"/>
      <c r="Y721" s="16"/>
    </row>
    <row r="722" spans="1:25" ht="15.75" customHeight="1">
      <c r="A722" s="16"/>
      <c r="Y722" s="16"/>
    </row>
    <row r="723" spans="1:25" ht="15.75" customHeight="1">
      <c r="A723" s="16"/>
      <c r="Y723" s="16"/>
    </row>
    <row r="724" spans="1:25" ht="15.75" customHeight="1">
      <c r="A724" s="16"/>
      <c r="Y724" s="16"/>
    </row>
    <row r="725" spans="1:25" ht="15.75" customHeight="1">
      <c r="A725" s="16"/>
      <c r="Y725" s="16"/>
    </row>
    <row r="726" spans="1:25" ht="15.75" customHeight="1">
      <c r="A726" s="16"/>
      <c r="Y726" s="16"/>
    </row>
    <row r="727" spans="1:25" ht="15.75" customHeight="1">
      <c r="A727" s="16"/>
      <c r="Y727" s="16"/>
    </row>
    <row r="728" spans="1:25" ht="15.75" customHeight="1">
      <c r="A728" s="16"/>
      <c r="Y728" s="16"/>
    </row>
    <row r="729" spans="1:25" ht="15.75" customHeight="1">
      <c r="A729" s="16"/>
      <c r="Y729" s="16"/>
    </row>
    <row r="730" spans="1:25" ht="15.75" customHeight="1">
      <c r="A730" s="16"/>
      <c r="Y730" s="16"/>
    </row>
    <row r="731" spans="1:25" ht="15.75" customHeight="1">
      <c r="A731" s="16"/>
      <c r="Y731" s="16"/>
    </row>
    <row r="732" spans="1:25" ht="15.75" customHeight="1">
      <c r="A732" s="16"/>
      <c r="Y732" s="16"/>
    </row>
    <row r="733" spans="1:25" ht="15.75" customHeight="1">
      <c r="A733" s="16"/>
      <c r="Y733" s="16"/>
    </row>
    <row r="734" spans="1:25" ht="15.75" customHeight="1">
      <c r="A734" s="16"/>
      <c r="Y734" s="16"/>
    </row>
    <row r="735" spans="1:25" ht="15.75" customHeight="1">
      <c r="A735" s="16"/>
      <c r="Y735" s="16"/>
    </row>
    <row r="736" spans="1:25" ht="15.75" customHeight="1">
      <c r="A736" s="16"/>
      <c r="Y736" s="16"/>
    </row>
    <row r="737" spans="1:25" ht="15.75" customHeight="1">
      <c r="A737" s="16"/>
      <c r="Y737" s="16"/>
    </row>
    <row r="738" spans="1:25" ht="15.75" customHeight="1">
      <c r="A738" s="16"/>
      <c r="Y738" s="16"/>
    </row>
    <row r="739" spans="1:25" ht="15.75" customHeight="1">
      <c r="A739" s="16"/>
      <c r="Y739" s="16"/>
    </row>
    <row r="740" spans="1:25" ht="15.75" customHeight="1">
      <c r="A740" s="16"/>
      <c r="Y740" s="16"/>
    </row>
    <row r="741" spans="1:25" ht="15.75" customHeight="1">
      <c r="A741" s="16"/>
      <c r="Y741" s="16"/>
    </row>
    <row r="742" spans="1:25" ht="15.75" customHeight="1">
      <c r="A742" s="16"/>
      <c r="Y742" s="16"/>
    </row>
    <row r="743" spans="1:25" ht="15.75" customHeight="1">
      <c r="A743" s="16"/>
      <c r="Y743" s="16"/>
    </row>
    <row r="744" spans="1:25" ht="15.75" customHeight="1">
      <c r="A744" s="16"/>
      <c r="Y744" s="16"/>
    </row>
    <row r="745" spans="1:25" ht="15.75" customHeight="1">
      <c r="A745" s="16"/>
      <c r="Y745" s="16"/>
    </row>
    <row r="746" spans="1:25" ht="15.75" customHeight="1">
      <c r="A746" s="16"/>
      <c r="Y746" s="16"/>
    </row>
    <row r="747" spans="1:25" ht="15.75" customHeight="1">
      <c r="A747" s="16"/>
      <c r="Y747" s="16"/>
    </row>
    <row r="748" spans="1:25" ht="15.75" customHeight="1">
      <c r="A748" s="16"/>
      <c r="Y748" s="16"/>
    </row>
    <row r="749" spans="1:25" ht="15.75" customHeight="1">
      <c r="A749" s="16"/>
      <c r="Y749" s="16"/>
    </row>
    <row r="750" spans="1:25" ht="15.75" customHeight="1">
      <c r="A750" s="16"/>
      <c r="Y750" s="16"/>
    </row>
    <row r="751" spans="1:25" ht="15.75" customHeight="1">
      <c r="A751" s="16"/>
      <c r="Y751" s="16"/>
    </row>
    <row r="752" spans="1:25" ht="15.75" customHeight="1">
      <c r="A752" s="16"/>
      <c r="Y752" s="16"/>
    </row>
    <row r="753" spans="1:25" ht="15.75" customHeight="1">
      <c r="A753" s="16"/>
      <c r="Y753" s="16"/>
    </row>
    <row r="754" spans="1:25" ht="15.75" customHeight="1">
      <c r="A754" s="16"/>
      <c r="Y754" s="16"/>
    </row>
    <row r="755" spans="1:25" ht="15.75" customHeight="1">
      <c r="A755" s="16"/>
      <c r="Y755" s="16"/>
    </row>
    <row r="756" spans="1:25" ht="15.75" customHeight="1">
      <c r="A756" s="16"/>
      <c r="Y756" s="16"/>
    </row>
    <row r="757" spans="1:25" ht="15.75" customHeight="1">
      <c r="A757" s="16"/>
      <c r="Y757" s="16"/>
    </row>
    <row r="758" spans="1:25" ht="15.75" customHeight="1">
      <c r="A758" s="16"/>
      <c r="Y758" s="16"/>
    </row>
    <row r="759" spans="1:25" ht="15.75" customHeight="1">
      <c r="A759" s="16"/>
      <c r="Y759" s="16"/>
    </row>
    <row r="760" spans="1:25" ht="15.75" customHeight="1">
      <c r="A760" s="16"/>
      <c r="Y760" s="16"/>
    </row>
    <row r="761" spans="1:25" ht="15.75" customHeight="1">
      <c r="A761" s="16"/>
      <c r="Y761" s="16"/>
    </row>
    <row r="762" spans="1:25" ht="15.75" customHeight="1">
      <c r="A762" s="16"/>
      <c r="Y762" s="16"/>
    </row>
    <row r="763" spans="1:25" ht="15.75" customHeight="1">
      <c r="A763" s="16"/>
      <c r="Y763" s="16"/>
    </row>
    <row r="764" spans="1:25" ht="15.75" customHeight="1">
      <c r="A764" s="16"/>
      <c r="Y764" s="16"/>
    </row>
    <row r="765" spans="1:25" ht="15.75" customHeight="1">
      <c r="A765" s="16"/>
      <c r="Y765" s="16"/>
    </row>
    <row r="766" spans="1:25" ht="15.75" customHeight="1">
      <c r="A766" s="16"/>
      <c r="Y766" s="16"/>
    </row>
    <row r="767" spans="1:25" ht="15.75" customHeight="1">
      <c r="A767" s="16"/>
      <c r="Y767" s="16"/>
    </row>
    <row r="768" spans="1:25" ht="15.75" customHeight="1">
      <c r="A768" s="16"/>
      <c r="Y768" s="16"/>
    </row>
    <row r="769" spans="1:25" ht="15.75" customHeight="1">
      <c r="A769" s="16"/>
      <c r="Y769" s="16"/>
    </row>
    <row r="770" spans="1:25" ht="15.75" customHeight="1">
      <c r="A770" s="16"/>
      <c r="Y770" s="16"/>
    </row>
    <row r="771" spans="1:25" ht="15.75" customHeight="1">
      <c r="A771" s="16"/>
      <c r="Y771" s="16"/>
    </row>
    <row r="772" spans="1:25" ht="15.75" customHeight="1">
      <c r="A772" s="16"/>
      <c r="Y772" s="16"/>
    </row>
    <row r="773" spans="1:25" ht="15.75" customHeight="1">
      <c r="A773" s="16"/>
      <c r="Y773" s="16"/>
    </row>
    <row r="774" spans="1:25" ht="15.75" customHeight="1">
      <c r="A774" s="16"/>
      <c r="Y774" s="16"/>
    </row>
    <row r="775" spans="1:25" ht="15.75" customHeight="1">
      <c r="A775" s="16"/>
      <c r="Y775" s="16"/>
    </row>
    <row r="776" spans="1:25" ht="15.75" customHeight="1">
      <c r="A776" s="16"/>
      <c r="Y776" s="16"/>
    </row>
    <row r="777" spans="1:25" ht="15.75" customHeight="1">
      <c r="A777" s="16"/>
      <c r="Y777" s="16"/>
    </row>
    <row r="778" spans="1:25" ht="15.75" customHeight="1">
      <c r="A778" s="16"/>
      <c r="Y778" s="16"/>
    </row>
    <row r="779" spans="1:25" ht="15.75" customHeight="1">
      <c r="A779" s="16"/>
      <c r="Y779" s="16"/>
    </row>
    <row r="780" spans="1:25" ht="15.75" customHeight="1">
      <c r="A780" s="16"/>
      <c r="Y780" s="16"/>
    </row>
    <row r="781" spans="1:25" ht="15.75" customHeight="1">
      <c r="A781" s="16"/>
      <c r="Y781" s="16"/>
    </row>
    <row r="782" spans="1:25" ht="15.75" customHeight="1">
      <c r="A782" s="16"/>
      <c r="Y782" s="16"/>
    </row>
    <row r="783" spans="1:25" ht="15.75" customHeight="1">
      <c r="A783" s="16"/>
      <c r="Y783" s="16"/>
    </row>
    <row r="784" spans="1:25" ht="15.75" customHeight="1">
      <c r="A784" s="16"/>
      <c r="Y784" s="16"/>
    </row>
    <row r="785" spans="1:25" ht="15.75" customHeight="1">
      <c r="A785" s="16"/>
      <c r="Y785" s="16"/>
    </row>
    <row r="786" spans="1:25" ht="15.75" customHeight="1">
      <c r="A786" s="16"/>
      <c r="Y786" s="16"/>
    </row>
    <row r="787" spans="1:25" ht="15.75" customHeight="1">
      <c r="A787" s="16"/>
      <c r="Y787" s="16"/>
    </row>
    <row r="788" spans="1:25" ht="15.75" customHeight="1">
      <c r="A788" s="16"/>
      <c r="Y788" s="16"/>
    </row>
    <row r="789" spans="1:25" ht="15.75" customHeight="1">
      <c r="A789" s="16"/>
      <c r="Y789" s="16"/>
    </row>
    <row r="790" spans="1:25" ht="15.75" customHeight="1">
      <c r="A790" s="16"/>
      <c r="Y790" s="16"/>
    </row>
    <row r="791" spans="1:25" ht="15.75" customHeight="1">
      <c r="A791" s="16"/>
      <c r="Y791" s="16"/>
    </row>
    <row r="792" spans="1:25" ht="15.75" customHeight="1">
      <c r="A792" s="16"/>
      <c r="Y792" s="16"/>
    </row>
    <row r="793" spans="1:25" ht="15.75" customHeight="1">
      <c r="A793" s="16"/>
      <c r="Y793" s="16"/>
    </row>
    <row r="794" spans="1:25" ht="15.75" customHeight="1">
      <c r="A794" s="16"/>
      <c r="Y794" s="16"/>
    </row>
    <row r="795" spans="1:25" ht="15.75" customHeight="1">
      <c r="A795" s="16"/>
      <c r="Y795" s="16"/>
    </row>
    <row r="796" spans="1:25" ht="15.75" customHeight="1">
      <c r="A796" s="16"/>
      <c r="Y796" s="16"/>
    </row>
    <row r="797" spans="1:25" ht="15.75" customHeight="1">
      <c r="A797" s="16"/>
      <c r="Y797" s="16"/>
    </row>
    <row r="798" spans="1:25" ht="15.75" customHeight="1">
      <c r="A798" s="16"/>
      <c r="Y798" s="16"/>
    </row>
    <row r="799" spans="1:25" ht="15.75" customHeight="1">
      <c r="A799" s="16"/>
      <c r="Y799" s="16"/>
    </row>
    <row r="800" spans="1:25" ht="15.75" customHeight="1">
      <c r="A800" s="16"/>
      <c r="Y800" s="16"/>
    </row>
    <row r="801" spans="1:25" ht="15.75" customHeight="1">
      <c r="A801" s="16"/>
      <c r="Y801" s="16"/>
    </row>
    <row r="802" spans="1:25" ht="15.75" customHeight="1">
      <c r="A802" s="16"/>
      <c r="Y802" s="16"/>
    </row>
    <row r="803" spans="1:25" ht="15.75" customHeight="1">
      <c r="A803" s="16"/>
      <c r="Y803" s="16"/>
    </row>
    <row r="804" spans="1:25" ht="15.75" customHeight="1">
      <c r="A804" s="16"/>
      <c r="Y804" s="16"/>
    </row>
    <row r="805" spans="1:25" ht="15.75" customHeight="1">
      <c r="A805" s="16"/>
      <c r="Y805" s="16"/>
    </row>
    <row r="806" spans="1:25" ht="15.75" customHeight="1">
      <c r="A806" s="16"/>
      <c r="Y806" s="16"/>
    </row>
    <row r="807" spans="1:25" ht="15.75" customHeight="1">
      <c r="A807" s="16"/>
      <c r="Y807" s="16"/>
    </row>
    <row r="808" spans="1:25" ht="15.75" customHeight="1">
      <c r="A808" s="16"/>
      <c r="Y808" s="16"/>
    </row>
    <row r="809" spans="1:25" ht="15.75" customHeight="1">
      <c r="A809" s="16"/>
      <c r="Y809" s="16"/>
    </row>
    <row r="810" spans="1:25" ht="15.75" customHeight="1">
      <c r="A810" s="16"/>
      <c r="Y810" s="16"/>
    </row>
    <row r="811" spans="1:25" ht="15.75" customHeight="1">
      <c r="A811" s="16"/>
      <c r="Y811" s="16"/>
    </row>
    <row r="812" spans="1:25" ht="15.75" customHeight="1">
      <c r="A812" s="16"/>
      <c r="Y812" s="16"/>
    </row>
    <row r="813" spans="1:25" ht="15.75" customHeight="1">
      <c r="A813" s="16"/>
      <c r="Y813" s="16"/>
    </row>
    <row r="814" spans="1:25" ht="15.75" customHeight="1">
      <c r="A814" s="16"/>
      <c r="Y814" s="16"/>
    </row>
    <row r="815" spans="1:25" ht="15.75" customHeight="1">
      <c r="A815" s="16"/>
      <c r="Y815" s="16"/>
    </row>
    <row r="816" spans="1:25" ht="15.75" customHeight="1">
      <c r="A816" s="16"/>
      <c r="Y816" s="16"/>
    </row>
    <row r="817" spans="1:25" ht="15.75" customHeight="1">
      <c r="A817" s="16"/>
      <c r="Y817" s="16"/>
    </row>
    <row r="818" spans="1:25" ht="15.75" customHeight="1">
      <c r="A818" s="16"/>
      <c r="Y818" s="16"/>
    </row>
    <row r="819" spans="1:25" ht="15.75" customHeight="1">
      <c r="A819" s="16"/>
      <c r="Y819" s="16"/>
    </row>
    <row r="820" spans="1:25" ht="15.75" customHeight="1">
      <c r="A820" s="16"/>
      <c r="Y820" s="16"/>
    </row>
    <row r="821" spans="1:25" ht="15.75" customHeight="1">
      <c r="A821" s="16"/>
      <c r="Y821" s="16"/>
    </row>
    <row r="822" spans="1:25" ht="15.75" customHeight="1">
      <c r="A822" s="16"/>
      <c r="Y822" s="16"/>
    </row>
    <row r="823" spans="1:25" ht="15.75" customHeight="1">
      <c r="A823" s="16"/>
      <c r="Y823" s="16"/>
    </row>
    <row r="824" spans="1:25" ht="15.75" customHeight="1">
      <c r="A824" s="16"/>
      <c r="Y824" s="16"/>
    </row>
    <row r="825" spans="1:25" ht="15.75" customHeight="1">
      <c r="A825" s="16"/>
      <c r="Y825" s="16"/>
    </row>
    <row r="826" spans="1:25" ht="15.75" customHeight="1">
      <c r="A826" s="16"/>
      <c r="Y826" s="16"/>
    </row>
    <row r="827" spans="1:25" ht="15.75" customHeight="1">
      <c r="A827" s="16"/>
      <c r="Y827" s="16"/>
    </row>
    <row r="828" spans="1:25" ht="15.75" customHeight="1">
      <c r="A828" s="16"/>
      <c r="Y828" s="16"/>
    </row>
    <row r="829" spans="1:25" ht="15.75" customHeight="1">
      <c r="A829" s="16"/>
      <c r="Y829" s="16"/>
    </row>
    <row r="830" spans="1:25" ht="15.75" customHeight="1">
      <c r="A830" s="16"/>
      <c r="Y830" s="16"/>
    </row>
    <row r="831" spans="1:25" ht="15.75" customHeight="1">
      <c r="A831" s="16"/>
      <c r="Y831" s="16"/>
    </row>
    <row r="832" spans="1:25" ht="15.75" customHeight="1">
      <c r="A832" s="16"/>
      <c r="Y832" s="16"/>
    </row>
    <row r="833" spans="1:25" ht="15.75" customHeight="1">
      <c r="A833" s="16"/>
      <c r="Y833" s="16"/>
    </row>
    <row r="834" spans="1:25" ht="15.75" customHeight="1">
      <c r="A834" s="16"/>
      <c r="Y834" s="16"/>
    </row>
    <row r="835" spans="1:25" ht="15.75" customHeight="1">
      <c r="A835" s="16"/>
      <c r="Y835" s="16"/>
    </row>
    <row r="836" spans="1:25" ht="15.75" customHeight="1">
      <c r="A836" s="16"/>
      <c r="Y836" s="16"/>
    </row>
    <row r="837" spans="1:25" ht="15.75" customHeight="1">
      <c r="A837" s="16"/>
      <c r="Y837" s="16"/>
    </row>
    <row r="838" spans="1:25" ht="15.75" customHeight="1">
      <c r="A838" s="16"/>
      <c r="Y838" s="16"/>
    </row>
    <row r="839" spans="1:25" ht="15.75" customHeight="1">
      <c r="A839" s="16"/>
      <c r="Y839" s="16"/>
    </row>
    <row r="840" spans="1:25" ht="15.75" customHeight="1">
      <c r="A840" s="16"/>
      <c r="Y840" s="16"/>
    </row>
    <row r="841" spans="1:25" ht="15.75" customHeight="1">
      <c r="A841" s="16"/>
      <c r="Y841" s="16"/>
    </row>
    <row r="842" spans="1:25" ht="15.75" customHeight="1">
      <c r="A842" s="16"/>
      <c r="Y842" s="16"/>
    </row>
    <row r="843" spans="1:25" ht="15.75" customHeight="1">
      <c r="A843" s="16"/>
      <c r="Y843" s="16"/>
    </row>
    <row r="844" spans="1:25" ht="15.75" customHeight="1">
      <c r="A844" s="16"/>
      <c r="Y844" s="16"/>
    </row>
    <row r="845" spans="1:25" ht="15.75" customHeight="1">
      <c r="A845" s="16"/>
      <c r="Y845" s="16"/>
    </row>
    <row r="846" spans="1:25" ht="15.75" customHeight="1">
      <c r="A846" s="16"/>
      <c r="Y846" s="16"/>
    </row>
    <row r="847" spans="1:25" ht="15.75" customHeight="1">
      <c r="A847" s="16"/>
      <c r="Y847" s="16"/>
    </row>
    <row r="848" spans="1:25" ht="15.75" customHeight="1">
      <c r="A848" s="16"/>
      <c r="Y848" s="16"/>
    </row>
    <row r="849" spans="1:25" ht="15.75" customHeight="1">
      <c r="A849" s="16"/>
      <c r="Y849" s="16"/>
    </row>
    <row r="850" spans="1:25" ht="15.75" customHeight="1">
      <c r="A850" s="16"/>
      <c r="Y850" s="16"/>
    </row>
    <row r="851" spans="1:25" ht="15.75" customHeight="1">
      <c r="A851" s="16"/>
      <c r="Y851" s="16"/>
    </row>
    <row r="852" spans="1:25" ht="15.75" customHeight="1">
      <c r="A852" s="16"/>
      <c r="Y852" s="16"/>
    </row>
    <row r="853" spans="1:25" ht="15.75" customHeight="1">
      <c r="A853" s="16"/>
      <c r="Y853" s="16"/>
    </row>
    <row r="854" spans="1:25" ht="15.75" customHeight="1">
      <c r="A854" s="16"/>
      <c r="Y854" s="16"/>
    </row>
    <row r="855" spans="1:25" ht="15.75" customHeight="1">
      <c r="A855" s="16"/>
      <c r="Y855" s="16"/>
    </row>
    <row r="856" spans="1:25" ht="15.75" customHeight="1">
      <c r="A856" s="16"/>
      <c r="Y856" s="16"/>
    </row>
    <row r="857" spans="1:25" ht="15.75" customHeight="1">
      <c r="A857" s="16"/>
      <c r="Y857" s="16"/>
    </row>
    <row r="858" spans="1:25" ht="15.75" customHeight="1">
      <c r="A858" s="16"/>
      <c r="Y858" s="16"/>
    </row>
    <row r="859" spans="1:25" ht="15.75" customHeight="1">
      <c r="A859" s="16"/>
      <c r="Y859" s="16"/>
    </row>
    <row r="860" spans="1:25" ht="15.75" customHeight="1">
      <c r="A860" s="16"/>
      <c r="Y860" s="16"/>
    </row>
    <row r="861" spans="1:25" ht="15.75" customHeight="1">
      <c r="A861" s="16"/>
      <c r="Y861" s="16"/>
    </row>
    <row r="862" spans="1:25" ht="15.75" customHeight="1">
      <c r="A862" s="16"/>
      <c r="Y862" s="16"/>
    </row>
    <row r="863" spans="1:25" ht="15.75" customHeight="1">
      <c r="A863" s="16"/>
      <c r="Y863" s="16"/>
    </row>
    <row r="864" spans="1:25" ht="15.75" customHeight="1">
      <c r="A864" s="16"/>
      <c r="Y864" s="16"/>
    </row>
    <row r="865" spans="1:25" ht="15.75" customHeight="1">
      <c r="A865" s="16"/>
      <c r="Y865" s="16"/>
    </row>
    <row r="866" spans="1:25" ht="15.75" customHeight="1">
      <c r="A866" s="16"/>
      <c r="Y866" s="16"/>
    </row>
    <row r="867" spans="1:25" ht="15.75" customHeight="1">
      <c r="A867" s="16"/>
      <c r="Y867" s="16"/>
    </row>
    <row r="868" spans="1:25" ht="15.75" customHeight="1">
      <c r="A868" s="16"/>
      <c r="Y868" s="16"/>
    </row>
    <row r="869" spans="1:25" ht="15.75" customHeight="1">
      <c r="A869" s="16"/>
      <c r="Y869" s="16"/>
    </row>
    <row r="870" spans="1:25" ht="15.75" customHeight="1">
      <c r="A870" s="16"/>
      <c r="Y870" s="16"/>
    </row>
    <row r="871" spans="1:25" ht="15.75" customHeight="1">
      <c r="A871" s="16"/>
      <c r="Y871" s="16"/>
    </row>
    <row r="872" spans="1:25" ht="15.75" customHeight="1">
      <c r="A872" s="16"/>
      <c r="Y872" s="16"/>
    </row>
    <row r="873" spans="1:25" ht="15.75" customHeight="1">
      <c r="A873" s="16"/>
      <c r="Y873" s="16"/>
    </row>
    <row r="874" spans="1:25" ht="15.75" customHeight="1">
      <c r="A874" s="16"/>
      <c r="Y874" s="16"/>
    </row>
    <row r="875" spans="1:25" ht="15.75" customHeight="1">
      <c r="A875" s="16"/>
      <c r="Y875" s="16"/>
    </row>
    <row r="876" spans="1:25" ht="15.75" customHeight="1">
      <c r="A876" s="16"/>
      <c r="Y876" s="16"/>
    </row>
    <row r="877" spans="1:25" ht="15.75" customHeight="1">
      <c r="A877" s="16"/>
      <c r="Y877" s="16"/>
    </row>
    <row r="878" spans="1:25" ht="15.75" customHeight="1">
      <c r="A878" s="16"/>
      <c r="Y878" s="16"/>
    </row>
    <row r="879" spans="1:25" ht="15.75" customHeight="1">
      <c r="A879" s="16"/>
      <c r="Y879" s="16"/>
    </row>
    <row r="880" spans="1:25" ht="15.75" customHeight="1">
      <c r="A880" s="16"/>
      <c r="Y880" s="16"/>
    </row>
    <row r="881" spans="1:25" ht="15.75" customHeight="1">
      <c r="A881" s="16"/>
      <c r="Y881" s="16"/>
    </row>
    <row r="882" spans="1:25" ht="15.75" customHeight="1">
      <c r="A882" s="16"/>
      <c r="Y882" s="16"/>
    </row>
    <row r="883" spans="1:25" ht="15.75" customHeight="1">
      <c r="A883" s="16"/>
      <c r="Y883" s="16"/>
    </row>
    <row r="884" spans="1:25" ht="15.75" customHeight="1">
      <c r="A884" s="16"/>
      <c r="Y884" s="16"/>
    </row>
    <row r="885" spans="1:25" ht="15.75" customHeight="1">
      <c r="A885" s="16"/>
      <c r="Y885" s="16"/>
    </row>
    <row r="886" spans="1:25" ht="15.75" customHeight="1">
      <c r="A886" s="16"/>
      <c r="Y886" s="16"/>
    </row>
    <row r="887" spans="1:25" ht="15.75" customHeight="1">
      <c r="A887" s="16"/>
      <c r="Y887" s="16"/>
    </row>
    <row r="888" spans="1:25" ht="15.75" customHeight="1">
      <c r="A888" s="16"/>
      <c r="Y888" s="16"/>
    </row>
    <row r="889" spans="1:25" ht="15.75" customHeight="1">
      <c r="A889" s="16"/>
      <c r="Y889" s="16"/>
    </row>
    <row r="890" spans="1:25" ht="15.75" customHeight="1">
      <c r="A890" s="16"/>
      <c r="Y890" s="16"/>
    </row>
    <row r="891" spans="1:25" ht="15.75" customHeight="1">
      <c r="A891" s="16"/>
      <c r="Y891" s="16"/>
    </row>
    <row r="892" spans="1:25" ht="15.75" customHeight="1">
      <c r="A892" s="16"/>
      <c r="Y892" s="16"/>
    </row>
    <row r="893" spans="1:25" ht="15.75" customHeight="1">
      <c r="A893" s="16"/>
      <c r="Y893" s="16"/>
    </row>
    <row r="894" spans="1:25" ht="15.75" customHeight="1">
      <c r="A894" s="16"/>
      <c r="Y894" s="16"/>
    </row>
    <row r="895" spans="1:25" ht="15.75" customHeight="1">
      <c r="A895" s="16"/>
      <c r="Y895" s="16"/>
    </row>
    <row r="896" spans="1:25" ht="15.75" customHeight="1">
      <c r="A896" s="16"/>
      <c r="Y896" s="16"/>
    </row>
    <row r="897" spans="1:25" ht="15.75" customHeight="1">
      <c r="A897" s="16"/>
      <c r="Y897" s="16"/>
    </row>
    <row r="898" spans="1:25" ht="15.75" customHeight="1">
      <c r="A898" s="16"/>
      <c r="Y898" s="16"/>
    </row>
    <row r="899" spans="1:25" ht="15.75" customHeight="1">
      <c r="A899" s="16"/>
      <c r="Y899" s="16"/>
    </row>
    <row r="900" spans="1:25" ht="15.75" customHeight="1">
      <c r="A900" s="16"/>
      <c r="Y900" s="16"/>
    </row>
    <row r="901" spans="1:25" ht="15.75" customHeight="1">
      <c r="A901" s="16"/>
      <c r="Y901" s="16"/>
    </row>
    <row r="902" spans="1:25" ht="15.75" customHeight="1">
      <c r="A902" s="16"/>
      <c r="Y902" s="16"/>
    </row>
    <row r="903" spans="1:25" ht="15.75" customHeight="1">
      <c r="A903" s="16"/>
      <c r="Y903" s="16"/>
    </row>
    <row r="904" spans="1:25" ht="15.75" customHeight="1">
      <c r="A904" s="16"/>
      <c r="Y904" s="16"/>
    </row>
    <row r="905" spans="1:25" ht="15.75" customHeight="1">
      <c r="A905" s="16"/>
      <c r="Y905" s="16"/>
    </row>
    <row r="906" spans="1:25" ht="15.75" customHeight="1">
      <c r="A906" s="16"/>
      <c r="Y906" s="16"/>
    </row>
    <row r="907" spans="1:25" ht="15.75" customHeight="1">
      <c r="A907" s="16"/>
      <c r="Y907" s="16"/>
    </row>
    <row r="908" spans="1:25" ht="15.75" customHeight="1">
      <c r="A908" s="16"/>
      <c r="Y908" s="16"/>
    </row>
    <row r="909" spans="1:25" ht="15.75" customHeight="1">
      <c r="A909" s="16"/>
      <c r="Y909" s="16"/>
    </row>
    <row r="910" spans="1:25" ht="15.75" customHeight="1">
      <c r="A910" s="16"/>
      <c r="Y910" s="16"/>
    </row>
    <row r="911" spans="1:25" ht="15.75" customHeight="1">
      <c r="A911" s="16"/>
      <c r="Y911" s="16"/>
    </row>
    <row r="912" spans="1:25" ht="15.75" customHeight="1">
      <c r="A912" s="16"/>
      <c r="Y912" s="16"/>
    </row>
    <row r="913" spans="1:25" ht="15.75" customHeight="1">
      <c r="A913" s="16"/>
      <c r="Y913" s="16"/>
    </row>
    <row r="914" spans="1:25" ht="15.75" customHeight="1">
      <c r="A914" s="16"/>
      <c r="Y914" s="16"/>
    </row>
    <row r="915" spans="1:25" ht="15.75" customHeight="1">
      <c r="A915" s="16"/>
      <c r="Y915" s="16"/>
    </row>
    <row r="916" spans="1:25" ht="15.75" customHeight="1">
      <c r="A916" s="16"/>
      <c r="Y916" s="16"/>
    </row>
    <row r="917" spans="1:25" ht="15.75" customHeight="1">
      <c r="A917" s="16"/>
      <c r="Y917" s="16"/>
    </row>
    <row r="918" spans="1:25" ht="15.75" customHeight="1">
      <c r="A918" s="16"/>
      <c r="Y918" s="16"/>
    </row>
    <row r="919" spans="1:25" ht="15.75" customHeight="1">
      <c r="A919" s="16"/>
      <c r="Y919" s="16"/>
    </row>
    <row r="920" spans="1:25" ht="15.75" customHeight="1">
      <c r="A920" s="16"/>
      <c r="Y920" s="16"/>
    </row>
    <row r="921" spans="1:25" ht="15.75" customHeight="1">
      <c r="A921" s="16"/>
      <c r="Y921" s="16"/>
    </row>
    <row r="922" spans="1:25" ht="15.75" customHeight="1">
      <c r="A922" s="16"/>
      <c r="Y922" s="16"/>
    </row>
    <row r="923" spans="1:25" ht="15.75" customHeight="1">
      <c r="A923" s="16"/>
      <c r="Y923" s="16"/>
    </row>
    <row r="924" spans="1:25" ht="15.75" customHeight="1">
      <c r="A924" s="16"/>
      <c r="Y924" s="16"/>
    </row>
    <row r="925" spans="1:25" ht="15.75" customHeight="1">
      <c r="A925" s="16"/>
      <c r="Y925" s="16"/>
    </row>
    <row r="926" spans="1:25" ht="15.75" customHeight="1">
      <c r="A926" s="16"/>
      <c r="Y926" s="16"/>
    </row>
    <row r="927" spans="1:25" ht="15.75" customHeight="1">
      <c r="A927" s="16"/>
      <c r="Y927" s="16"/>
    </row>
    <row r="928" spans="1:25" ht="15.75" customHeight="1">
      <c r="A928" s="16"/>
      <c r="Y928" s="16"/>
    </row>
    <row r="929" spans="1:25" ht="15.75" customHeight="1">
      <c r="A929" s="16"/>
      <c r="Y929" s="16"/>
    </row>
    <row r="930" spans="1:25" ht="15.75" customHeight="1">
      <c r="A930" s="16"/>
      <c r="Y930" s="16"/>
    </row>
    <row r="931" spans="1:25" ht="15.75" customHeight="1">
      <c r="A931" s="16"/>
      <c r="Y931" s="16"/>
    </row>
    <row r="932" spans="1:25" ht="15.75" customHeight="1">
      <c r="A932" s="16"/>
      <c r="Y932" s="16"/>
    </row>
    <row r="933" spans="1:25" ht="15.75" customHeight="1">
      <c r="A933" s="16"/>
      <c r="Y933" s="16"/>
    </row>
    <row r="934" spans="1:25" ht="15.75" customHeight="1">
      <c r="A934" s="16"/>
      <c r="Y934" s="16"/>
    </row>
    <row r="935" spans="1:25" ht="15.75" customHeight="1">
      <c r="A935" s="16"/>
      <c r="Y935" s="16"/>
    </row>
    <row r="936" spans="1:25" ht="15.75" customHeight="1">
      <c r="A936" s="16"/>
      <c r="Y936" s="16"/>
    </row>
    <row r="937" spans="1:25" ht="15.75" customHeight="1">
      <c r="A937" s="16"/>
      <c r="Y937" s="16"/>
    </row>
    <row r="938" spans="1:25" ht="15.75" customHeight="1">
      <c r="A938" s="16"/>
      <c r="Y938" s="16"/>
    </row>
    <row r="939" spans="1:25" ht="15.75" customHeight="1">
      <c r="A939" s="16"/>
      <c r="Y939" s="16"/>
    </row>
    <row r="940" spans="1:25" ht="15.75" customHeight="1">
      <c r="A940" s="16"/>
      <c r="Y940" s="16"/>
    </row>
    <row r="941" spans="1:25" ht="15.75" customHeight="1">
      <c r="A941" s="16"/>
      <c r="Y941" s="16"/>
    </row>
    <row r="942" spans="1:25" ht="15.75" customHeight="1">
      <c r="A942" s="16"/>
      <c r="Y942" s="16"/>
    </row>
    <row r="943" spans="1:25" ht="15.75" customHeight="1">
      <c r="A943" s="16"/>
      <c r="Y943" s="16"/>
    </row>
    <row r="944" spans="1:25" ht="15.75" customHeight="1">
      <c r="A944" s="16"/>
      <c r="Y944" s="16"/>
    </row>
    <row r="945" spans="1:25" ht="15.75" customHeight="1">
      <c r="A945" s="16"/>
      <c r="Y945" s="16"/>
    </row>
    <row r="946" spans="1:25" ht="15.75" customHeight="1">
      <c r="A946" s="16"/>
      <c r="Y946" s="16"/>
    </row>
    <row r="947" spans="1:25" ht="15.75" customHeight="1">
      <c r="A947" s="16"/>
      <c r="Y947" s="16"/>
    </row>
    <row r="948" spans="1:25" ht="15.75" customHeight="1">
      <c r="A948" s="16"/>
      <c r="Y948" s="16"/>
    </row>
    <row r="949" spans="1:25" ht="15.75" customHeight="1">
      <c r="A949" s="16"/>
      <c r="Y949" s="16"/>
    </row>
    <row r="950" spans="1:25" ht="15.75" customHeight="1">
      <c r="A950" s="16"/>
      <c r="Y950" s="16"/>
    </row>
    <row r="951" spans="1:25" ht="15.75" customHeight="1">
      <c r="A951" s="16"/>
      <c r="Y951" s="16"/>
    </row>
    <row r="952" spans="1:25" ht="15.75" customHeight="1">
      <c r="A952" s="16"/>
      <c r="Y952" s="16"/>
    </row>
    <row r="953" spans="1:25" ht="15.75" customHeight="1">
      <c r="A953" s="16"/>
      <c r="Y953" s="16"/>
    </row>
    <row r="954" spans="1:25" ht="15.75" customHeight="1">
      <c r="A954" s="16"/>
      <c r="Y954" s="16"/>
    </row>
    <row r="955" spans="1:25" ht="15.75" customHeight="1">
      <c r="A955" s="16"/>
      <c r="Y955" s="16"/>
    </row>
    <row r="956" spans="1:25" ht="15.75" customHeight="1">
      <c r="A956" s="16"/>
      <c r="Y956" s="16"/>
    </row>
    <row r="957" spans="1:25" ht="15.75" customHeight="1">
      <c r="A957" s="16"/>
      <c r="Y957" s="16"/>
    </row>
    <row r="958" spans="1:25" ht="15.75" customHeight="1">
      <c r="A958" s="16"/>
      <c r="Y958" s="16"/>
    </row>
    <row r="959" spans="1:25" ht="15.75" customHeight="1">
      <c r="A959" s="16"/>
      <c r="Y959" s="16"/>
    </row>
    <row r="960" spans="1:25" ht="15.75" customHeight="1">
      <c r="A960" s="16"/>
      <c r="Y960" s="16"/>
    </row>
    <row r="961" spans="1:25" ht="15.75" customHeight="1">
      <c r="A961" s="16"/>
      <c r="Y961" s="16"/>
    </row>
    <row r="962" spans="1:25" ht="15.75" customHeight="1">
      <c r="A962" s="16"/>
      <c r="Y962" s="16"/>
    </row>
    <row r="963" spans="1:25" ht="15.75" customHeight="1">
      <c r="A963" s="16"/>
      <c r="Y963" s="16"/>
    </row>
    <row r="964" spans="1:25" ht="15.75" customHeight="1">
      <c r="A964" s="16"/>
      <c r="Y964" s="16"/>
    </row>
    <row r="965" spans="1:25" ht="15.75" customHeight="1">
      <c r="A965" s="16"/>
      <c r="Y965" s="16"/>
    </row>
    <row r="966" spans="1:25" ht="15.75" customHeight="1">
      <c r="A966" s="16"/>
      <c r="Y966" s="16"/>
    </row>
    <row r="967" spans="1:25" ht="15.75" customHeight="1">
      <c r="A967" s="16"/>
      <c r="Y967" s="16"/>
    </row>
    <row r="968" spans="1:25" ht="15.75" customHeight="1">
      <c r="A968" s="16"/>
      <c r="Y968" s="16"/>
    </row>
    <row r="969" spans="1:25" ht="15.75" customHeight="1">
      <c r="A969" s="16"/>
      <c r="Y969" s="16"/>
    </row>
    <row r="970" spans="1:25" ht="15.75" customHeight="1">
      <c r="A970" s="16"/>
      <c r="Y970" s="16"/>
    </row>
    <row r="971" spans="1:25" ht="15.75" customHeight="1">
      <c r="A971" s="16"/>
      <c r="Y971" s="16"/>
    </row>
    <row r="972" spans="1:25" ht="15.75" customHeight="1">
      <c r="A972" s="16"/>
      <c r="Y972" s="16"/>
    </row>
    <row r="973" spans="1:25" ht="15.75" customHeight="1">
      <c r="A973" s="16"/>
      <c r="Y973" s="16"/>
    </row>
    <row r="974" spans="1:25" ht="15.75" customHeight="1">
      <c r="A974" s="16"/>
      <c r="Y974" s="16"/>
    </row>
    <row r="975" spans="1:25" ht="15.75" customHeight="1">
      <c r="A975" s="16"/>
      <c r="Y975" s="16"/>
    </row>
    <row r="976" spans="1:25" ht="15.75" customHeight="1">
      <c r="A976" s="16"/>
      <c r="Y976" s="16"/>
    </row>
    <row r="977" spans="1:25" ht="15.75" customHeight="1">
      <c r="A977" s="16"/>
      <c r="Y977" s="16"/>
    </row>
    <row r="978" spans="1:25" ht="15.75" customHeight="1">
      <c r="A978" s="16"/>
      <c r="Y978" s="16"/>
    </row>
    <row r="979" spans="1:25" ht="15.75" customHeight="1">
      <c r="A979" s="16"/>
      <c r="Y979" s="16"/>
    </row>
    <row r="980" spans="1:25" ht="15.75" customHeight="1">
      <c r="A980" s="16"/>
      <c r="Y980" s="16"/>
    </row>
    <row r="981" spans="1:25" ht="15.75" customHeight="1">
      <c r="A981" s="16"/>
      <c r="Y981" s="16"/>
    </row>
    <row r="982" spans="1:25" ht="15.75" customHeight="1">
      <c r="A982" s="16"/>
      <c r="Y982" s="16"/>
    </row>
    <row r="983" spans="1:25" ht="15.75" customHeight="1">
      <c r="A983" s="16"/>
      <c r="Y983" s="16"/>
    </row>
    <row r="984" spans="1:25" ht="15.75" customHeight="1">
      <c r="A984" s="16"/>
      <c r="Y984" s="16"/>
    </row>
    <row r="985" spans="1:25" ht="15.75" customHeight="1">
      <c r="A985" s="16"/>
      <c r="Y985" s="16"/>
    </row>
    <row r="986" spans="1:25" ht="15.75" customHeight="1">
      <c r="A986" s="16"/>
      <c r="Y986" s="16"/>
    </row>
    <row r="987" spans="1:25" ht="15.75" customHeight="1">
      <c r="A987" s="16"/>
      <c r="Y987" s="16"/>
    </row>
    <row r="988" spans="1:25" ht="15.75" customHeight="1">
      <c r="A988" s="16"/>
      <c r="Y988" s="16"/>
    </row>
    <row r="989" spans="1:25" ht="15.75" customHeight="1">
      <c r="A989" s="16"/>
      <c r="Y989" s="16"/>
    </row>
    <row r="990" spans="1:25" ht="15.75" customHeight="1">
      <c r="A990" s="16"/>
      <c r="Y990" s="16"/>
    </row>
    <row r="991" spans="1:25" ht="15.75" customHeight="1">
      <c r="A991" s="16"/>
      <c r="Y991" s="16"/>
    </row>
    <row r="992" spans="1:25" ht="15.75" customHeight="1">
      <c r="A992" s="16"/>
      <c r="Y992" s="16"/>
    </row>
    <row r="993" spans="1:25" ht="15.75" customHeight="1">
      <c r="A993" s="16"/>
      <c r="Y993" s="16"/>
    </row>
    <row r="994" spans="1:25" ht="15.75" customHeight="1">
      <c r="A994" s="16"/>
      <c r="Y994" s="16"/>
    </row>
    <row r="995" spans="1:25" ht="15.75" customHeight="1">
      <c r="A995" s="16"/>
      <c r="Y995" s="16"/>
    </row>
    <row r="996" spans="1:25" ht="15.75" customHeight="1">
      <c r="A996" s="16"/>
      <c r="Y996" s="16"/>
    </row>
    <row r="997" spans="1:25" ht="15.75" customHeight="1">
      <c r="A997" s="16"/>
      <c r="Y997" s="16"/>
    </row>
    <row r="998" spans="1:25" ht="15.75" customHeight="1">
      <c r="A998" s="16"/>
      <c r="Y998" s="16"/>
    </row>
    <row r="999" spans="1:25" ht="15.75" customHeight="1">
      <c r="A999" s="16"/>
      <c r="Y999" s="16"/>
    </row>
    <row r="1000" spans="1:25" ht="15.75" customHeight="1">
      <c r="A1000" s="16"/>
      <c r="Y1000" s="16"/>
    </row>
  </sheetData>
  <mergeCells count="16">
    <mergeCell ref="K17:Q17"/>
    <mergeCell ref="S17:Y17"/>
    <mergeCell ref="K53:L53"/>
    <mergeCell ref="K54:L54"/>
    <mergeCell ref="A17:I17"/>
    <mergeCell ref="A31:Y31"/>
    <mergeCell ref="A32:I32"/>
    <mergeCell ref="K32:Q32"/>
    <mergeCell ref="S32:Y32"/>
    <mergeCell ref="K46:L46"/>
    <mergeCell ref="K52:L52"/>
    <mergeCell ref="A1:Y1"/>
    <mergeCell ref="A2:I2"/>
    <mergeCell ref="K2:Q2"/>
    <mergeCell ref="S2:Y2"/>
    <mergeCell ref="A16:Y1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5703125" defaultRowHeight="15" customHeight="1"/>
  <cols>
    <col min="1" max="1" width="7.42578125" customWidth="1"/>
    <col min="2" max="2" width="6.7109375" customWidth="1"/>
    <col min="3" max="3" width="8.7109375" customWidth="1"/>
    <col min="4" max="4" width="9.140625" customWidth="1"/>
    <col min="5" max="5" width="8.5703125" customWidth="1"/>
    <col min="6" max="6" width="7.42578125" customWidth="1"/>
    <col min="7" max="7" width="7.85546875" customWidth="1"/>
    <col min="8" max="8" width="8.7109375" customWidth="1"/>
    <col min="9" max="9" width="9.140625" customWidth="1"/>
    <col min="10" max="10" width="8.5703125" customWidth="1"/>
    <col min="11" max="11" width="8.42578125" customWidth="1"/>
    <col min="12" max="12" width="7.85546875" customWidth="1"/>
    <col min="13" max="13" width="8.7109375" customWidth="1"/>
    <col min="14" max="14" width="9.140625" customWidth="1"/>
    <col min="15" max="15" width="8.5703125" customWidth="1"/>
    <col min="16" max="16" width="7.42578125" customWidth="1"/>
    <col min="17" max="17" width="7.85546875" customWidth="1"/>
    <col min="18" max="18" width="8.7109375" customWidth="1"/>
    <col min="19" max="19" width="8.5703125" customWidth="1"/>
    <col min="20" max="20" width="7.42578125" customWidth="1"/>
    <col min="21" max="21" width="7.85546875" customWidth="1"/>
    <col min="22" max="26" width="10.5703125" customWidth="1"/>
  </cols>
  <sheetData>
    <row r="1" spans="1:26">
      <c r="A1" s="165" t="s">
        <v>0</v>
      </c>
      <c r="B1" s="167" t="s">
        <v>1</v>
      </c>
      <c r="C1" s="169" t="s">
        <v>10</v>
      </c>
      <c r="D1" s="141"/>
      <c r="E1" s="141"/>
      <c r="F1" s="141"/>
      <c r="G1" s="170"/>
      <c r="H1" s="169" t="s">
        <v>16</v>
      </c>
      <c r="I1" s="141"/>
      <c r="J1" s="141"/>
      <c r="K1" s="141"/>
      <c r="L1" s="170"/>
      <c r="M1" s="169" t="s">
        <v>17</v>
      </c>
      <c r="N1" s="141"/>
      <c r="O1" s="141"/>
      <c r="P1" s="141"/>
      <c r="Q1" s="170"/>
      <c r="V1" s="73"/>
      <c r="W1" s="73"/>
      <c r="X1" s="73"/>
      <c r="Y1" s="73"/>
      <c r="Z1" s="73"/>
    </row>
    <row r="2" spans="1:26" ht="27">
      <c r="A2" s="166"/>
      <c r="B2" s="168"/>
      <c r="C2" s="74" t="s">
        <v>2</v>
      </c>
      <c r="D2" s="75" t="s">
        <v>25</v>
      </c>
      <c r="E2" s="75" t="s">
        <v>26</v>
      </c>
      <c r="F2" s="75" t="s">
        <v>27</v>
      </c>
      <c r="G2" s="76" t="s">
        <v>28</v>
      </c>
      <c r="H2" s="74" t="s">
        <v>2</v>
      </c>
      <c r="I2" s="77" t="s">
        <v>25</v>
      </c>
      <c r="J2" s="75" t="s">
        <v>26</v>
      </c>
      <c r="K2" s="75" t="s">
        <v>29</v>
      </c>
      <c r="L2" s="76" t="s">
        <v>30</v>
      </c>
      <c r="M2" s="74" t="s">
        <v>2</v>
      </c>
      <c r="N2" s="77" t="s">
        <v>25</v>
      </c>
      <c r="O2" s="75" t="s">
        <v>26</v>
      </c>
      <c r="P2" s="75" t="s">
        <v>31</v>
      </c>
      <c r="Q2" s="76" t="s">
        <v>32</v>
      </c>
      <c r="V2" s="78"/>
      <c r="W2" s="78"/>
      <c r="X2" s="78"/>
      <c r="Y2" s="78"/>
      <c r="Z2" s="78"/>
    </row>
    <row r="3" spans="1:26">
      <c r="A3" s="79">
        <v>0</v>
      </c>
      <c r="B3" s="80">
        <v>0</v>
      </c>
      <c r="C3" s="81">
        <f>'Lote 1'!H4</f>
        <v>1537</v>
      </c>
      <c r="D3" s="82">
        <f>'%Ganancia'!Y4</f>
        <v>0</v>
      </c>
      <c r="E3" s="17">
        <f>'Lote 1'!M4</f>
        <v>0.91169999999999995</v>
      </c>
      <c r="F3" s="17">
        <f>'Lote 1'!R4</f>
        <v>0</v>
      </c>
      <c r="G3" s="83">
        <f>'Lote 1'!AD4</f>
        <v>0.89990000000000003</v>
      </c>
      <c r="H3" s="84">
        <f>'Lote 2'!H4</f>
        <v>1537</v>
      </c>
      <c r="I3" s="85">
        <f>'%Ganancia'!Y19</f>
        <v>0</v>
      </c>
      <c r="J3" s="86">
        <f>'Lote 2'!M4</f>
        <v>0.96509999999999996</v>
      </c>
      <c r="K3" s="86">
        <f>'Lote 2'!R4</f>
        <v>0</v>
      </c>
      <c r="L3" s="87">
        <f>'Lote 2'!Z4</f>
        <v>0.89671666666666672</v>
      </c>
      <c r="M3" s="84">
        <f>'Lote 3'!H4</f>
        <v>1537</v>
      </c>
      <c r="N3" s="82">
        <f>'%Ganancia'!Y34</f>
        <v>0</v>
      </c>
      <c r="O3" s="86">
        <f>'Lote 3'!M4</f>
        <v>1.0665</v>
      </c>
      <c r="P3" s="86">
        <f>'Lote 3'!R4</f>
        <v>0</v>
      </c>
      <c r="Q3" s="87">
        <f>'Lote 3'!Z4</f>
        <v>0.89483333333333326</v>
      </c>
    </row>
    <row r="4" spans="1:26">
      <c r="A4" s="79">
        <v>1</v>
      </c>
      <c r="B4" s="80">
        <v>20</v>
      </c>
      <c r="C4" s="81">
        <f>'Lote 1'!H5</f>
        <v>1493</v>
      </c>
      <c r="D4" s="88">
        <f>'%Ganancia'!Y5</f>
        <v>2.9893292036764323E-2</v>
      </c>
      <c r="E4" s="17">
        <f>'Lote 1'!M5</f>
        <v>1.0175000000000001</v>
      </c>
      <c r="F4" s="17">
        <f>'Lote 1'!R5</f>
        <v>6.7000000000000002E-3</v>
      </c>
      <c r="G4" s="83">
        <f>'Lote 1'!AD5</f>
        <v>0.90127828054298631</v>
      </c>
      <c r="H4" s="81" t="e">
        <f>'Lote 2'!H5</f>
        <v>#DIV/0!</v>
      </c>
      <c r="I4" s="89" t="e">
        <f>'%Ganancia'!Y20</f>
        <v>#DIV/0!</v>
      </c>
      <c r="J4" s="17">
        <f>'Lote 2'!M5</f>
        <v>1.0698000000000001</v>
      </c>
      <c r="K4" s="17">
        <f>'Lote 2'!R5</f>
        <v>6.3E-3</v>
      </c>
      <c r="L4" s="83">
        <f>'Lote 2'!Z5</f>
        <v>0.90070000000000006</v>
      </c>
      <c r="M4" s="81">
        <f>'Lote 3'!H5</f>
        <v>1527</v>
      </c>
      <c r="N4" s="88">
        <f>'%Ganancia'!Y35</f>
        <v>6.5993458287007369E-3</v>
      </c>
      <c r="O4" s="17">
        <f>'Lote 3'!M5</f>
        <v>1.1158999999999999</v>
      </c>
      <c r="P4" s="17">
        <f>'Lote 3'!R5</f>
        <v>6.3E-3</v>
      </c>
      <c r="Q4" s="83">
        <f>'Lote 3'!Z5</f>
        <v>0.9049666666666667</v>
      </c>
    </row>
    <row r="5" spans="1:26">
      <c r="A5" s="79">
        <v>2</v>
      </c>
      <c r="B5" s="80">
        <v>40</v>
      </c>
      <c r="C5" s="81">
        <f>'Lote 1'!H6</f>
        <v>1462</v>
      </c>
      <c r="D5" s="88">
        <f>'%Ganancia'!Y6</f>
        <v>5.2056910772081667E-2</v>
      </c>
      <c r="E5" s="17">
        <f>'Lote 1'!M6</f>
        <v>1.0222</v>
      </c>
      <c r="F5" s="17">
        <f>'Lote 1'!R6</f>
        <v>1.11E-2</v>
      </c>
      <c r="G5" s="83">
        <f>'Lote 1'!AD6</f>
        <v>0.92430187459599211</v>
      </c>
      <c r="H5" s="81" t="e">
        <f>'Lote 2'!H6</f>
        <v>#DIV/0!</v>
      </c>
      <c r="I5" s="89" t="e">
        <f>'%Ganancia'!Y21</f>
        <v>#DIV/0!</v>
      </c>
      <c r="J5" s="17">
        <f>'Lote 2'!M6</f>
        <v>1.0603</v>
      </c>
      <c r="K5" s="17">
        <f>'Lote 2'!R6</f>
        <v>1.24E-2</v>
      </c>
      <c r="L5" s="83">
        <f>'Lote 2'!Z6</f>
        <v>0.92030000000000001</v>
      </c>
      <c r="M5" s="81">
        <f>'Lote 3'!H6</f>
        <v>1498</v>
      </c>
      <c r="N5" s="88">
        <f>'%Ganancia'!Y36</f>
        <v>2.6753539404231141E-2</v>
      </c>
      <c r="O5" s="17">
        <f>'Lote 3'!M6</f>
        <v>1.0175000000000001</v>
      </c>
      <c r="P5" s="17">
        <f>'Lote 3'!R6</f>
        <v>1.11E-2</v>
      </c>
      <c r="Q5" s="83">
        <f>'Lote 3'!Z6</f>
        <v>0.91533333333333333</v>
      </c>
    </row>
    <row r="6" spans="1:26">
      <c r="A6" s="79">
        <v>3</v>
      </c>
      <c r="B6" s="80">
        <v>60</v>
      </c>
      <c r="C6" s="81">
        <f>'Lote 1'!H7</f>
        <v>1432</v>
      </c>
      <c r="D6" s="88">
        <f>'%Ganancia'!Y7</f>
        <v>7.3910897161835451E-2</v>
      </c>
      <c r="E6" s="17">
        <f>'Lote 1'!M7</f>
        <v>1.0159</v>
      </c>
      <c r="F6" s="17">
        <f>'Lote 1'!R7</f>
        <v>1.43E-2</v>
      </c>
      <c r="G6" s="83">
        <f>'Lote 1'!AD7</f>
        <v>0.93414188752424043</v>
      </c>
      <c r="H6" s="81" t="e">
        <f>'Lote 2'!H7</f>
        <v>#DIV/0!</v>
      </c>
      <c r="I6" s="89" t="e">
        <f>'%Ganancia'!Y22</f>
        <v>#DIV/0!</v>
      </c>
      <c r="J6" s="17">
        <f>'Lote 2'!M7</f>
        <v>1.0841000000000001</v>
      </c>
      <c r="K6" s="17">
        <f>'Lote 2'!R7</f>
        <v>2.2200000000000001E-2</v>
      </c>
      <c r="L6" s="83">
        <f>'Lote 2'!Z7</f>
        <v>0.92864999999999986</v>
      </c>
      <c r="M6" s="81">
        <f>'Lote 3'!H7</f>
        <v>1479</v>
      </c>
      <c r="N6" s="88">
        <f>'%Ganancia'!Y37</f>
        <v>4.0167249498112914E-2</v>
      </c>
      <c r="O6" s="17">
        <f>'Lote 3'!M7</f>
        <v>1.0476000000000001</v>
      </c>
      <c r="P6" s="17">
        <f>'Lote 3'!R7</f>
        <v>1.5900000000000001E-2</v>
      </c>
      <c r="Q6" s="83">
        <f>'Lote 3'!Z7</f>
        <v>0.92518333333333347</v>
      </c>
    </row>
    <row r="7" spans="1:26">
      <c r="A7" s="79">
        <v>4</v>
      </c>
      <c r="B7" s="80">
        <v>80</v>
      </c>
      <c r="C7" s="81">
        <f>'Lote 1'!H8</f>
        <v>1410</v>
      </c>
      <c r="D7" s="88">
        <f>'%Ganancia'!Y8</f>
        <v>9.045339419977369E-2</v>
      </c>
      <c r="E7" s="17">
        <f>'Lote 1'!M8</f>
        <v>1.0569999999999999</v>
      </c>
      <c r="F7" s="17">
        <f>'Lote 1'!R8</f>
        <v>2.06E-2</v>
      </c>
      <c r="G7" s="83">
        <f>'Lote 1'!AD8</f>
        <v>0.94063994828700714</v>
      </c>
      <c r="H7" s="81" t="e">
        <f>'Lote 2'!H8</f>
        <v>#DIV/0!</v>
      </c>
      <c r="I7" s="89" t="e">
        <f>'%Ganancia'!Y23</f>
        <v>#DIV/0!</v>
      </c>
      <c r="J7" s="17">
        <f>'Lote 2'!M8</f>
        <v>1.0857000000000001</v>
      </c>
      <c r="K7" s="17">
        <f>'Lote 2'!R8</f>
        <v>3.4099999999999998E-2</v>
      </c>
      <c r="L7" s="83">
        <f>'Lote 2'!Z8</f>
        <v>0.94063333333333343</v>
      </c>
      <c r="M7" s="81">
        <f>'Lote 3'!H8</f>
        <v>1452</v>
      </c>
      <c r="N7" s="88">
        <f>'%Ganancia'!Y38</f>
        <v>5.9273198427733299E-2</v>
      </c>
      <c r="O7" s="17">
        <f>'Lote 3'!M8</f>
        <v>1.0793999999999999</v>
      </c>
      <c r="P7" s="17">
        <f>'Lote 3'!R8</f>
        <v>2.2700000000000001E-2</v>
      </c>
      <c r="Q7" s="83">
        <f>'Lote 3'!Z8</f>
        <v>0.93541666666666667</v>
      </c>
    </row>
    <row r="8" spans="1:26">
      <c r="A8" s="79">
        <v>5</v>
      </c>
      <c r="B8" s="80">
        <v>100</v>
      </c>
      <c r="C8" s="81">
        <f>'Lote 1'!H9</f>
        <v>1406</v>
      </c>
      <c r="D8" s="88">
        <f>'%Ganancia'!Y9</f>
        <v>9.3659553277945146E-2</v>
      </c>
      <c r="E8" s="17">
        <f>'Lote 1'!M9</f>
        <v>1.1209</v>
      </c>
      <c r="F8" s="17">
        <f>'Lote 1'!R9</f>
        <v>2.12E-2</v>
      </c>
      <c r="G8" s="83">
        <f>'Lote 1'!AD9</f>
        <v>0.94676308985132507</v>
      </c>
      <c r="H8" s="81" t="e">
        <f>'Lote 2'!H9</f>
        <v>#DIV/0!</v>
      </c>
      <c r="I8" s="89" t="e">
        <f>'%Ganancia'!Y24</f>
        <v>#DIV/0!</v>
      </c>
      <c r="J8" s="17">
        <f>'Lote 2'!M9</f>
        <v>1.1571</v>
      </c>
      <c r="K8" s="17">
        <f>'Lote 2'!R9</f>
        <v>4.1300000000000003E-2</v>
      </c>
      <c r="L8" s="83">
        <f>'Lote 2'!Z9</f>
        <v>0.94668333333333321</v>
      </c>
      <c r="M8" s="81">
        <f>'Lote 3'!H9</f>
        <v>1429</v>
      </c>
      <c r="N8" s="88">
        <f>'%Ganancia'!Y39</f>
        <v>7.5595081925377935E-2</v>
      </c>
      <c r="O8" s="17">
        <f>'Lote 3'!M9</f>
        <v>1.1616</v>
      </c>
      <c r="P8" s="17">
        <f>'Lote 3'!R9</f>
        <v>2.93E-2</v>
      </c>
      <c r="Q8" s="83">
        <f>'Lote 3'!Z9</f>
        <v>0.94358333333333322</v>
      </c>
    </row>
    <row r="9" spans="1:26">
      <c r="A9" s="79">
        <v>6</v>
      </c>
      <c r="B9" s="80">
        <v>120</v>
      </c>
      <c r="C9" s="81">
        <f>'Lote 1'!H10</f>
        <v>1380</v>
      </c>
      <c r="D9" s="88">
        <f>'%Ganancia'!Y10</f>
        <v>0.11367561455989791</v>
      </c>
      <c r="E9" s="17">
        <f>'Lote 1'!M10</f>
        <v>1.0381</v>
      </c>
      <c r="F9" s="17">
        <f>'Lote 1'!R10</f>
        <v>2.86E-2</v>
      </c>
      <c r="G9" s="83">
        <f>'Lote 1'!AD10</f>
        <v>0.95851486748545567</v>
      </c>
      <c r="H9" s="81" t="e">
        <f>'Lote 2'!H10</f>
        <v>#DIV/0!</v>
      </c>
      <c r="I9" s="89" t="e">
        <f>'%Ganancia'!Y25</f>
        <v>#DIV/0!</v>
      </c>
      <c r="J9" s="17">
        <f>'Lote 2'!M10</f>
        <v>1.1333</v>
      </c>
      <c r="K9" s="17">
        <f>'Lote 2'!R10</f>
        <v>4.8300000000000003E-2</v>
      </c>
      <c r="L9" s="83">
        <f>'Lote 2'!Z10</f>
        <v>0.95860000000000001</v>
      </c>
      <c r="M9" s="81">
        <f>'Lote 3'!H10</f>
        <v>1416</v>
      </c>
      <c r="N9" s="88">
        <f>'%Ganancia'!Y40</f>
        <v>8.606923723376475E-2</v>
      </c>
      <c r="O9" s="17">
        <f>'Lote 3'!M10</f>
        <v>1.1714</v>
      </c>
      <c r="P9" s="17">
        <f>'Lote 3'!R10</f>
        <v>3.4799999999999998E-2</v>
      </c>
      <c r="Q9" s="83">
        <f>'Lote 3'!Z10</f>
        <v>0.95281666666666665</v>
      </c>
    </row>
    <row r="10" spans="1:26">
      <c r="A10" s="79">
        <v>7</v>
      </c>
      <c r="B10" s="80">
        <v>140</v>
      </c>
      <c r="C10" s="81">
        <f>'Lote 1'!H11</f>
        <v>1347</v>
      </c>
      <c r="D10" s="88">
        <f>'%Ganancia'!Y11</f>
        <v>0.14091959274626142</v>
      </c>
      <c r="E10" s="17">
        <f>'Lote 1'!M11</f>
        <v>1.0029999999999999</v>
      </c>
      <c r="F10" s="17">
        <f>'Lote 1'!R11</f>
        <v>4.0099999999999997E-2</v>
      </c>
      <c r="G10" s="83">
        <f>'Lote 1'!AD11</f>
        <v>0.96141402714932112</v>
      </c>
      <c r="H10" s="81" t="e">
        <f>'Lote 2'!H11</f>
        <v>#DIV/0!</v>
      </c>
      <c r="I10" s="89" t="e">
        <f>'%Ganancia'!Y26</f>
        <v>#DIV/0!</v>
      </c>
      <c r="J10" s="17">
        <f>'Lote 2'!M11</f>
        <v>1.1111</v>
      </c>
      <c r="K10" s="17">
        <f>'Lote 2'!R11</f>
        <v>5.28E-2</v>
      </c>
      <c r="L10" s="83">
        <f>'Lote 2'!Z11</f>
        <v>0.96283333333333321</v>
      </c>
      <c r="M10" s="81">
        <f>'Lote 3'!H11</f>
        <v>1377</v>
      </c>
      <c r="N10" s="88">
        <f>'%Ganancia'!Y41</f>
        <v>0.11652961766135048</v>
      </c>
      <c r="O10" s="17">
        <f>'Lote 3'!M11</f>
        <v>1.109</v>
      </c>
      <c r="P10" s="17">
        <f>'Lote 3'!R11</f>
        <v>4.02E-2</v>
      </c>
      <c r="Q10" s="83">
        <f>'Lote 3'!Z11</f>
        <v>0.96096666666666675</v>
      </c>
    </row>
    <row r="11" spans="1:26">
      <c r="A11" s="79">
        <v>8</v>
      </c>
      <c r="B11" s="80">
        <v>160</v>
      </c>
      <c r="C11" s="81">
        <f>'Lote 1'!H12</f>
        <v>1324</v>
      </c>
      <c r="D11" s="88">
        <f>'%Ganancia'!Y12</f>
        <v>0.16206109764795767</v>
      </c>
      <c r="E11" s="17">
        <f>'Lote 1'!M12</f>
        <v>1.0126999999999999</v>
      </c>
      <c r="F11" s="17">
        <f>'Lote 1'!R12</f>
        <v>4.5400000000000003E-2</v>
      </c>
      <c r="G11" s="83">
        <f>'Lote 1'!AD12</f>
        <v>0.96692146089204889</v>
      </c>
      <c r="H11" s="81" t="e">
        <f>'Lote 2'!H12</f>
        <v>#DIV/0!</v>
      </c>
      <c r="I11" s="89" t="e">
        <f>'%Ganancia'!Y27</f>
        <v>#DIV/0!</v>
      </c>
      <c r="J11" s="17">
        <f>'Lote 2'!M12</f>
        <v>1.1904999999999999</v>
      </c>
      <c r="K11" s="17">
        <f>'Lote 2'!R12</f>
        <v>5.8700000000000002E-2</v>
      </c>
      <c r="L11" s="83">
        <f>'Lote 2'!Z12</f>
        <v>0.97176666666666678</v>
      </c>
      <c r="M11" s="81">
        <f>'Lote 3'!H12</f>
        <v>1340</v>
      </c>
      <c r="N11" s="88">
        <f>'%Ganancia'!Y42</f>
        <v>0.14795704150199335</v>
      </c>
      <c r="O11" s="17">
        <f>'Lote 3'!M12</f>
        <v>1.2317</v>
      </c>
      <c r="P11" s="17">
        <f>'Lote 3'!R12</f>
        <v>4.5999999999999999E-2</v>
      </c>
      <c r="Q11" s="83">
        <f>'Lote 3'!Z12</f>
        <v>0.96948333333333336</v>
      </c>
    </row>
    <row r="12" spans="1:26">
      <c r="A12" s="79">
        <v>9</v>
      </c>
      <c r="B12" s="80">
        <v>180</v>
      </c>
      <c r="C12" s="81">
        <f>'Lote 1'!H13</f>
        <v>1301</v>
      </c>
      <c r="D12" s="88">
        <f>'%Ganancia'!Y13</f>
        <v>0.18183553303764963</v>
      </c>
      <c r="E12" s="17">
        <f>'Lote 1'!M13</f>
        <v>0.94130000000000003</v>
      </c>
      <c r="F12" s="17">
        <f>'Lote 1'!R13</f>
        <v>5.0799999999999998E-2</v>
      </c>
      <c r="G12" s="83">
        <f>'Lote 1'!AD13</f>
        <v>0.97381706528765355</v>
      </c>
      <c r="H12" s="81" t="e">
        <f>'Lote 2'!H13</f>
        <v>#DIV/0!</v>
      </c>
      <c r="I12" s="89" t="e">
        <f>'%Ganancia'!Y28</f>
        <v>#DIV/0!</v>
      </c>
      <c r="J12" s="17">
        <f>'Lote 2'!M13</f>
        <v>1.1840999999999999</v>
      </c>
      <c r="K12" s="17">
        <f>'Lote 2'!R13</f>
        <v>5.9299999999999999E-2</v>
      </c>
      <c r="L12" s="83">
        <f>'Lote 2'!Z13</f>
        <v>0.97881666666666656</v>
      </c>
      <c r="M12" s="81">
        <f>'Lote 3'!H13</f>
        <v>1306</v>
      </c>
      <c r="N12" s="88">
        <f>'%Ganancia'!Y43</f>
        <v>0.17842169841021321</v>
      </c>
      <c r="O12" s="17">
        <f>'Lote 3'!M13</f>
        <v>1.2465999999999999</v>
      </c>
      <c r="P12" s="17">
        <f>'Lote 3'!R13</f>
        <v>5.28E-2</v>
      </c>
      <c r="Q12" s="83">
        <f>'Lote 3'!Z13</f>
        <v>0.97471666666666656</v>
      </c>
    </row>
    <row r="13" spans="1:26">
      <c r="A13" s="90" t="s">
        <v>9</v>
      </c>
      <c r="B13" s="91">
        <v>200</v>
      </c>
      <c r="C13" s="92">
        <f>'Lote 1'!H14</f>
        <v>1290</v>
      </c>
      <c r="D13" s="93">
        <f>'%Ganancia'!Y14</f>
        <v>0.19183952953545083</v>
      </c>
      <c r="E13" s="94">
        <f>'Lote 1'!M14</f>
        <v>0.99639999999999995</v>
      </c>
      <c r="F13" s="94">
        <f>'Lote 1'!R14</f>
        <v>5.33E-2</v>
      </c>
      <c r="G13" s="95">
        <f>'Lote 1'!AD14</f>
        <v>0.99603425985778915</v>
      </c>
      <c r="H13" s="92">
        <f>'Lote 2'!H14</f>
        <v>1286</v>
      </c>
      <c r="I13" s="96">
        <f>'%Ganancia'!Y29</f>
        <v>0.1949976113435242</v>
      </c>
      <c r="J13" s="94">
        <f>'Lote 2'!M14</f>
        <v>1.3302</v>
      </c>
      <c r="K13" s="94">
        <f>'Lote 2'!R14</f>
        <v>6.0299999999999999E-2</v>
      </c>
      <c r="L13" s="95">
        <f>'Lote 2'!Z14</f>
        <v>0.99154999999999982</v>
      </c>
      <c r="M13" s="92">
        <f>'Lote 3'!H14</f>
        <v>1364</v>
      </c>
      <c r="N13" s="93">
        <f>'%Ganancia'!Y44</f>
        <v>0.12806362321362288</v>
      </c>
      <c r="O13" s="94">
        <f>'Lote 3'!M14</f>
        <v>1.2586999999999999</v>
      </c>
      <c r="P13" s="94">
        <f>'Lote 3'!R14</f>
        <v>5.5300000000000002E-2</v>
      </c>
      <c r="Q13" s="95">
        <f>'Lote 3'!Z14</f>
        <v>0.98999999999999988</v>
      </c>
    </row>
    <row r="15" spans="1:26">
      <c r="K15" s="171" t="s">
        <v>33</v>
      </c>
      <c r="L15" s="154"/>
      <c r="M15" s="55">
        <v>5.5900000000000004E-4</v>
      </c>
      <c r="N15" s="39"/>
      <c r="P15" s="171" t="s">
        <v>34</v>
      </c>
      <c r="Q15" s="154"/>
      <c r="R15" s="97">
        <f>G13</f>
        <v>0.99603425985778915</v>
      </c>
    </row>
    <row r="16" spans="1:26">
      <c r="P16" s="171" t="s">
        <v>35</v>
      </c>
      <c r="Q16" s="154"/>
      <c r="R16" s="97">
        <v>0.90229999999999999</v>
      </c>
    </row>
    <row r="17" spans="11:23">
      <c r="M17" s="23">
        <v>1</v>
      </c>
      <c r="N17" s="63"/>
      <c r="R17" s="23">
        <v>1</v>
      </c>
    </row>
    <row r="18" spans="11:23">
      <c r="K18" s="163" t="s">
        <v>36</v>
      </c>
      <c r="L18" s="164"/>
      <c r="M18" s="98">
        <v>0.93200000000000005</v>
      </c>
      <c r="N18" s="99"/>
      <c r="P18" s="163" t="s">
        <v>36</v>
      </c>
      <c r="Q18" s="164"/>
      <c r="R18" s="98">
        <v>0.93200000000000005</v>
      </c>
    </row>
    <row r="19" spans="11:23">
      <c r="K19" s="161" t="s">
        <v>37</v>
      </c>
      <c r="L19" s="149"/>
      <c r="M19" s="47">
        <v>5.33E-2</v>
      </c>
      <c r="N19" s="16"/>
      <c r="P19" s="161" t="s">
        <v>38</v>
      </c>
      <c r="Q19" s="149"/>
      <c r="R19" s="47">
        <v>5.33E-2</v>
      </c>
    </row>
    <row r="20" spans="11:23">
      <c r="M20" s="16"/>
      <c r="N20" s="16"/>
    </row>
    <row r="21" spans="11:23" ht="15.75" customHeight="1">
      <c r="K21" s="163" t="s">
        <v>39</v>
      </c>
      <c r="L21" s="164"/>
      <c r="M21" s="100">
        <f>((PI()/6)*((3*(M18^2)*M19)+(3*M18*(M19^2))+(M19^3)))*M15</f>
        <v>4.302203099770137E-5</v>
      </c>
      <c r="N21" s="101"/>
      <c r="P21" s="163" t="s">
        <v>39</v>
      </c>
      <c r="Q21" s="164"/>
      <c r="R21" s="33">
        <f>(PI()/6)*(R15-R16)*((3*(R18^2)*R19)+(3*R18*(R19^2))+(R19^3))</f>
        <v>7.2140218839864033E-3</v>
      </c>
    </row>
    <row r="22" spans="11:23" ht="15.75" customHeight="1">
      <c r="K22" s="159" t="s">
        <v>40</v>
      </c>
      <c r="L22" s="160"/>
      <c r="M22" s="39">
        <f>'%Ganancia'!Q14-'%Ganancia'!M46</f>
        <v>1.2476015361074198E-4</v>
      </c>
      <c r="N22" s="39"/>
      <c r="O22" s="102"/>
      <c r="P22" s="159" t="s">
        <v>40</v>
      </c>
      <c r="Q22" s="160"/>
      <c r="R22" s="39">
        <f>M22</f>
        <v>1.2476015361074198E-4</v>
      </c>
      <c r="W22" s="102"/>
    </row>
    <row r="23" spans="11:23" ht="15.75" customHeight="1">
      <c r="K23" s="161" t="s">
        <v>41</v>
      </c>
      <c r="L23" s="149"/>
      <c r="M23" s="103">
        <f>ABS(M21-M22)/M22</f>
        <v>0.65516208699187484</v>
      </c>
      <c r="N23" s="104"/>
      <c r="O23" s="105"/>
      <c r="P23" s="161" t="s">
        <v>41</v>
      </c>
      <c r="Q23" s="149"/>
      <c r="R23" s="103">
        <f>ABS(R21-R22)/R21</f>
        <v>0.98270588090567301</v>
      </c>
      <c r="W23" s="105"/>
    </row>
    <row r="24" spans="11:23" ht="15.75" customHeight="1"/>
    <row r="25" spans="11:23" ht="15.75" customHeight="1">
      <c r="Q25" s="15" t="s">
        <v>42</v>
      </c>
      <c r="R25" s="106">
        <f>R15-R16</f>
        <v>9.3734259857789159E-2</v>
      </c>
    </row>
    <row r="26" spans="11:23" ht="15.75" customHeight="1">
      <c r="Q26" s="15" t="s">
        <v>43</v>
      </c>
      <c r="R26" s="15">
        <f>((3*(R18^2)*R19)+(3*R18*(R19^2))+(R19^3))*(PI()/6)</f>
        <v>7.6962488367980975E-2</v>
      </c>
    </row>
    <row r="27" spans="11:23" ht="15.75" customHeight="1"/>
    <row r="28" spans="11:23" ht="15.75" customHeight="1"/>
    <row r="29" spans="11:23" ht="15.75" customHeight="1"/>
    <row r="30" spans="11:23" ht="15.75" customHeight="1"/>
    <row r="31" spans="11:23" ht="15.75" customHeight="1"/>
    <row r="32" spans="1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P15:Q15"/>
    <mergeCell ref="P16:Q16"/>
    <mergeCell ref="P21:Q21"/>
    <mergeCell ref="P22:Q22"/>
    <mergeCell ref="K23:L23"/>
    <mergeCell ref="P23:Q23"/>
    <mergeCell ref="K15:L15"/>
    <mergeCell ref="K18:L18"/>
    <mergeCell ref="P18:Q18"/>
    <mergeCell ref="K19:L19"/>
    <mergeCell ref="P19:Q19"/>
    <mergeCell ref="K21:L21"/>
    <mergeCell ref="K22:L22"/>
    <mergeCell ref="A1:A2"/>
    <mergeCell ref="B1:B2"/>
    <mergeCell ref="C1:G1"/>
    <mergeCell ref="H1:L1"/>
    <mergeCell ref="M1:Q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selection sqref="A1:A2"/>
    </sheetView>
  </sheetViews>
  <sheetFormatPr baseColWidth="10" defaultColWidth="12.5703125" defaultRowHeight="15" customHeight="1"/>
  <cols>
    <col min="1" max="26" width="10.5703125" customWidth="1"/>
  </cols>
  <sheetData>
    <row r="1" spans="1:10">
      <c r="A1" s="172" t="s">
        <v>19</v>
      </c>
      <c r="B1" s="143" t="s">
        <v>44</v>
      </c>
      <c r="C1" s="141"/>
      <c r="D1" s="141"/>
      <c r="E1" s="141"/>
      <c r="F1" s="142"/>
      <c r="G1" s="173" t="s">
        <v>3</v>
      </c>
      <c r="H1" s="174" t="s">
        <v>45</v>
      </c>
      <c r="I1" s="174" t="s">
        <v>46</v>
      </c>
      <c r="J1" s="175" t="s">
        <v>47</v>
      </c>
    </row>
    <row r="2" spans="1:10">
      <c r="A2" s="145"/>
      <c r="B2" s="107">
        <v>1</v>
      </c>
      <c r="C2" s="108">
        <v>2</v>
      </c>
      <c r="D2" s="108">
        <v>3</v>
      </c>
      <c r="E2" s="108">
        <v>4</v>
      </c>
      <c r="F2" s="108">
        <v>5</v>
      </c>
      <c r="G2" s="166"/>
      <c r="H2" s="149"/>
      <c r="I2" s="149"/>
      <c r="J2" s="168"/>
    </row>
    <row r="3" spans="1:10">
      <c r="A3" s="109">
        <v>1</v>
      </c>
      <c r="B3" s="11">
        <f>'Lote 1'!C14</f>
        <v>1283</v>
      </c>
      <c r="C3" s="12">
        <f>'Lote 1'!D14</f>
        <v>1302</v>
      </c>
      <c r="D3" s="12">
        <f>'Lote 1'!E14</f>
        <v>1287</v>
      </c>
      <c r="E3" s="12">
        <f>'Lote 1'!F14</f>
        <v>1294</v>
      </c>
      <c r="F3" s="110">
        <f>'Lote 1'!G14</f>
        <v>1285</v>
      </c>
      <c r="G3" s="4">
        <f t="shared" ref="G3:G5" si="0">ROUNDDOWN(AVERAGE(B3:F3),0)</f>
        <v>1290</v>
      </c>
      <c r="H3" s="5">
        <f t="shared" ref="H3:H5" si="1">MAX(B3:F3)</f>
        <v>1302</v>
      </c>
      <c r="I3" s="5">
        <f t="shared" ref="I3:I5" si="2">MIN(B3:F3)</f>
        <v>1283</v>
      </c>
      <c r="J3" s="30">
        <f t="shared" ref="J3:J5" si="3">H3-I3</f>
        <v>19</v>
      </c>
    </row>
    <row r="4" spans="1:10">
      <c r="A4" s="111">
        <v>2</v>
      </c>
      <c r="B4" s="18">
        <f>'Lote 2'!C14</f>
        <v>1292</v>
      </c>
      <c r="C4" s="8">
        <f>'Lote 2'!D14</f>
        <v>1298</v>
      </c>
      <c r="D4" s="8">
        <f>'Lote 2'!E14</f>
        <v>1284</v>
      </c>
      <c r="E4" s="8">
        <f>'Lote 2'!F14</f>
        <v>1275</v>
      </c>
      <c r="F4" s="112">
        <f>'Lote 2'!G14</f>
        <v>1285</v>
      </c>
      <c r="G4" s="14">
        <f t="shared" si="0"/>
        <v>1286</v>
      </c>
      <c r="H4" s="16">
        <f t="shared" si="1"/>
        <v>1298</v>
      </c>
      <c r="I4" s="16">
        <f t="shared" si="2"/>
        <v>1275</v>
      </c>
      <c r="J4" s="36">
        <f t="shared" si="3"/>
        <v>23</v>
      </c>
    </row>
    <row r="5" spans="1:10">
      <c r="A5" s="113">
        <v>3</v>
      </c>
      <c r="B5" s="114">
        <f>'Lote 3'!C14</f>
        <v>1403</v>
      </c>
      <c r="C5" s="115">
        <f>'Lote 3'!D14</f>
        <v>1402</v>
      </c>
      <c r="D5" s="115">
        <f>'Lote 3'!E14</f>
        <v>1365</v>
      </c>
      <c r="E5" s="115">
        <f>'Lote 3'!F14</f>
        <v>1332</v>
      </c>
      <c r="F5" s="116">
        <f>'Lote 3'!G14</f>
        <v>1318</v>
      </c>
      <c r="G5" s="46">
        <f t="shared" si="0"/>
        <v>1364</v>
      </c>
      <c r="H5" s="47">
        <f t="shared" si="1"/>
        <v>1403</v>
      </c>
      <c r="I5" s="47">
        <f t="shared" si="2"/>
        <v>1318</v>
      </c>
      <c r="J5" s="48">
        <f t="shared" si="3"/>
        <v>85</v>
      </c>
    </row>
    <row r="6" spans="1:10">
      <c r="A6" s="3"/>
    </row>
    <row r="7" spans="1:10" ht="30">
      <c r="A7" s="3"/>
      <c r="F7" s="117" t="s">
        <v>48</v>
      </c>
      <c r="G7" s="118">
        <f>ROUNDDOWN(AVERAGE(G3:G4),0)</f>
        <v>1288</v>
      </c>
      <c r="I7" s="117" t="s">
        <v>49</v>
      </c>
      <c r="J7" s="119">
        <f>ROUNDDOWN(AVERAGE(J3:J4),0)</f>
        <v>21</v>
      </c>
    </row>
    <row r="8" spans="1:10">
      <c r="A8" s="3"/>
    </row>
    <row r="9" spans="1:10">
      <c r="A9" s="120" t="s">
        <v>50</v>
      </c>
      <c r="B9" s="30">
        <f>ROUNDDOWN(B10*1.03,0)</f>
        <v>1326</v>
      </c>
      <c r="E9" s="120" t="s">
        <v>51</v>
      </c>
      <c r="F9" s="121">
        <f>(G7-B11)/(3*B14)</f>
        <v>1.4399047619047618</v>
      </c>
    </row>
    <row r="10" spans="1:10">
      <c r="A10" s="122" t="s">
        <v>52</v>
      </c>
      <c r="B10" s="36">
        <v>1288</v>
      </c>
      <c r="E10" s="122" t="s">
        <v>53</v>
      </c>
      <c r="F10" s="123">
        <f>(B9-G7)/(3*B14)</f>
        <v>1.4029841269841268</v>
      </c>
    </row>
    <row r="11" spans="1:10">
      <c r="A11" s="124" t="s">
        <v>54</v>
      </c>
      <c r="B11" s="48">
        <f>ROUNDDOWN(B10*0.97,0)</f>
        <v>1249</v>
      </c>
      <c r="E11" s="125" t="s">
        <v>55</v>
      </c>
      <c r="F11" s="126">
        <f>MIN(F9:F10)</f>
        <v>1.4029841269841268</v>
      </c>
    </row>
    <row r="12" spans="1:10">
      <c r="A12" s="72"/>
      <c r="B12" s="16"/>
      <c r="E12" s="72"/>
      <c r="F12" s="16"/>
    </row>
    <row r="13" spans="1:10">
      <c r="A13" s="120" t="s">
        <v>56</v>
      </c>
      <c r="B13" s="30">
        <v>2.3260000000000001</v>
      </c>
      <c r="E13" s="120" t="s">
        <v>57</v>
      </c>
      <c r="F13" s="121">
        <f>(G7-B11)/(3*B15)</f>
        <v>1.6271200269941462</v>
      </c>
    </row>
    <row r="14" spans="1:10">
      <c r="A14" s="122" t="s">
        <v>58</v>
      </c>
      <c r="B14" s="123">
        <f>J7/B13</f>
        <v>9.0283748925193468</v>
      </c>
      <c r="E14" s="122" t="s">
        <v>59</v>
      </c>
      <c r="F14" s="123">
        <f>(B9-G7)/(3*B15)</f>
        <v>1.5853990006609628</v>
      </c>
    </row>
    <row r="15" spans="1:10">
      <c r="A15" s="124" t="s">
        <v>60</v>
      </c>
      <c r="B15" s="127">
        <f>_xlfn.STDEV.S(B3:F4)</f>
        <v>7.9895765428045893</v>
      </c>
      <c r="E15" s="125" t="s">
        <v>61</v>
      </c>
      <c r="F15" s="126">
        <f>MIN(F13:F14)</f>
        <v>1.5853990006609628</v>
      </c>
    </row>
    <row r="16" spans="1:10">
      <c r="A16" s="72"/>
      <c r="B16" s="16"/>
    </row>
    <row r="17" spans="1:2">
      <c r="A17" s="128" t="s">
        <v>62</v>
      </c>
      <c r="B17" s="129">
        <f>(B9-B11)/(6*B14)</f>
        <v>1.4214444444444443</v>
      </c>
    </row>
    <row r="18" spans="1:2">
      <c r="A18" s="125" t="s">
        <v>63</v>
      </c>
      <c r="B18" s="126">
        <f>(B9-B11)/(6*B15)</f>
        <v>1.6062595138275544</v>
      </c>
    </row>
    <row r="19" spans="1:2">
      <c r="A19" s="72"/>
      <c r="B19" s="16"/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1:J2"/>
    <mergeCell ref="A1:A2"/>
    <mergeCell ref="B1:F1"/>
    <mergeCell ref="G1:G2"/>
    <mergeCell ref="H1:H2"/>
    <mergeCell ref="I1:I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workbookViewId="0"/>
  </sheetViews>
  <sheetFormatPr baseColWidth="10" defaultColWidth="12.5703125" defaultRowHeight="15" customHeight="1"/>
  <cols>
    <col min="1" max="2" width="10.5703125" customWidth="1"/>
    <col min="3" max="3" width="15.7109375" customWidth="1"/>
    <col min="4" max="6" width="10.5703125" customWidth="1"/>
    <col min="7" max="7" width="12.7109375" customWidth="1"/>
    <col min="8" max="10" width="10.5703125" customWidth="1"/>
    <col min="11" max="11" width="12.5703125" customWidth="1"/>
    <col min="12" max="26" width="10.5703125" customWidth="1"/>
  </cols>
  <sheetData>
    <row r="1" spans="1:13">
      <c r="A1" s="130"/>
      <c r="B1" s="176" t="s">
        <v>10</v>
      </c>
      <c r="C1" s="154"/>
      <c r="D1" s="154"/>
      <c r="E1" s="177"/>
      <c r="F1" s="176" t="s">
        <v>16</v>
      </c>
      <c r="G1" s="154"/>
      <c r="H1" s="154"/>
      <c r="I1" s="155"/>
      <c r="J1" s="176" t="s">
        <v>17</v>
      </c>
      <c r="K1" s="154"/>
      <c r="L1" s="154"/>
      <c r="M1" s="177"/>
    </row>
    <row r="2" spans="1:13" ht="45">
      <c r="A2" s="131" t="s">
        <v>1</v>
      </c>
      <c r="B2" s="132" t="s">
        <v>64</v>
      </c>
      <c r="C2" s="133" t="s">
        <v>65</v>
      </c>
      <c r="D2" s="133" t="s">
        <v>66</v>
      </c>
      <c r="E2" s="134" t="s">
        <v>67</v>
      </c>
      <c r="F2" s="132" t="s">
        <v>64</v>
      </c>
      <c r="G2" s="133" t="s">
        <v>65</v>
      </c>
      <c r="H2" s="133" t="s">
        <v>66</v>
      </c>
      <c r="I2" s="133" t="s">
        <v>67</v>
      </c>
      <c r="J2" s="132" t="s">
        <v>64</v>
      </c>
      <c r="K2" s="133" t="s">
        <v>65</v>
      </c>
      <c r="L2" s="133" t="s">
        <v>66</v>
      </c>
      <c r="M2" s="134" t="s">
        <v>67</v>
      </c>
    </row>
    <row r="3" spans="1:13">
      <c r="A3" s="135">
        <v>1</v>
      </c>
      <c r="B3" s="4">
        <v>3.5</v>
      </c>
      <c r="C3" s="5">
        <v>6</v>
      </c>
      <c r="D3" s="5">
        <v>27.9</v>
      </c>
      <c r="E3" s="30">
        <v>0.66</v>
      </c>
      <c r="F3" s="14">
        <v>1.2</v>
      </c>
      <c r="G3" s="16">
        <v>5.8</v>
      </c>
      <c r="H3" s="16">
        <v>18.5</v>
      </c>
      <c r="I3" s="16">
        <v>0.6</v>
      </c>
      <c r="J3" s="4">
        <v>3.5</v>
      </c>
      <c r="K3" s="5">
        <v>5.8</v>
      </c>
      <c r="L3" s="5">
        <v>43.4</v>
      </c>
      <c r="M3" s="30">
        <v>6.6</v>
      </c>
    </row>
    <row r="4" spans="1:13">
      <c r="A4" s="135">
        <v>2</v>
      </c>
      <c r="B4" s="14">
        <v>3.5</v>
      </c>
      <c r="C4" s="16">
        <v>5.9</v>
      </c>
      <c r="D4" s="16">
        <v>44.5</v>
      </c>
      <c r="E4" s="36">
        <v>3.13</v>
      </c>
      <c r="F4" s="14">
        <v>3.5</v>
      </c>
      <c r="G4" s="16">
        <v>6.7</v>
      </c>
      <c r="H4" s="16">
        <v>29.1</v>
      </c>
      <c r="I4" s="16">
        <v>4</v>
      </c>
      <c r="J4" s="14">
        <v>3.4</v>
      </c>
      <c r="K4" s="16">
        <v>6.8</v>
      </c>
      <c r="L4" s="16">
        <v>44.9</v>
      </c>
      <c r="M4" s="36">
        <v>6.1</v>
      </c>
    </row>
    <row r="5" spans="1:13">
      <c r="A5" s="135">
        <v>3</v>
      </c>
      <c r="B5" s="14">
        <v>3.5</v>
      </c>
      <c r="C5" s="16">
        <v>6.3</v>
      </c>
      <c r="D5" s="16">
        <v>47.9</v>
      </c>
      <c r="E5" s="36">
        <v>5.84</v>
      </c>
      <c r="F5" s="14">
        <v>3.5</v>
      </c>
      <c r="G5" s="16">
        <v>6.5</v>
      </c>
      <c r="H5" s="16">
        <v>40.799999999999997</v>
      </c>
      <c r="I5" s="16">
        <v>7.4</v>
      </c>
      <c r="J5" s="14">
        <v>3.4</v>
      </c>
      <c r="K5" s="16">
        <v>6.5</v>
      </c>
      <c r="L5" s="16">
        <v>47</v>
      </c>
      <c r="M5" s="36">
        <v>6.9</v>
      </c>
    </row>
    <row r="6" spans="1:13">
      <c r="A6" s="135">
        <v>4</v>
      </c>
      <c r="B6" s="14">
        <v>3.5</v>
      </c>
      <c r="C6" s="16">
        <v>6.3</v>
      </c>
      <c r="D6" s="16">
        <v>47.3</v>
      </c>
      <c r="E6" s="36">
        <v>2.1</v>
      </c>
      <c r="F6" s="14">
        <v>3.5</v>
      </c>
      <c r="G6" s="16">
        <v>6.1</v>
      </c>
      <c r="H6" s="16">
        <v>43.2</v>
      </c>
      <c r="I6" s="16">
        <v>7.9</v>
      </c>
      <c r="J6" s="14">
        <v>3.5</v>
      </c>
      <c r="K6" s="16">
        <v>6.1</v>
      </c>
      <c r="L6" s="16">
        <v>48.8</v>
      </c>
      <c r="M6" s="36">
        <v>7.5</v>
      </c>
    </row>
    <row r="7" spans="1:13">
      <c r="A7" s="135">
        <v>5</v>
      </c>
      <c r="B7" s="14">
        <v>3.5</v>
      </c>
      <c r="C7" s="16">
        <v>6.3</v>
      </c>
      <c r="D7" s="16">
        <v>48.2</v>
      </c>
      <c r="E7" s="36">
        <v>2.5</v>
      </c>
      <c r="F7" s="14">
        <v>3.5</v>
      </c>
      <c r="G7" s="16">
        <v>6</v>
      </c>
      <c r="H7" s="16">
        <v>44</v>
      </c>
      <c r="I7" s="16">
        <v>8.1999999999999993</v>
      </c>
      <c r="J7" s="14">
        <v>3.5</v>
      </c>
      <c r="K7" s="16">
        <v>5.8</v>
      </c>
      <c r="L7" s="16">
        <v>49.8</v>
      </c>
      <c r="M7" s="36">
        <v>8.6</v>
      </c>
    </row>
    <row r="8" spans="1:13">
      <c r="A8" s="135">
        <v>6</v>
      </c>
      <c r="B8" s="136">
        <v>3.5</v>
      </c>
      <c r="C8" s="137">
        <v>6.3</v>
      </c>
      <c r="D8" s="137">
        <v>49.7</v>
      </c>
      <c r="E8" s="138">
        <v>2.16</v>
      </c>
      <c r="F8" s="14">
        <v>3.4</v>
      </c>
      <c r="G8" s="16">
        <v>6.8</v>
      </c>
      <c r="H8" s="16">
        <v>44.7</v>
      </c>
      <c r="I8" s="16">
        <v>8.1999999999999993</v>
      </c>
      <c r="J8" s="136">
        <v>3.4</v>
      </c>
      <c r="K8" s="137">
        <v>6.8</v>
      </c>
      <c r="L8" s="137">
        <v>50.6</v>
      </c>
      <c r="M8" s="138">
        <v>8.4</v>
      </c>
    </row>
    <row r="9" spans="1:13">
      <c r="A9" s="135">
        <v>7</v>
      </c>
      <c r="B9" s="14">
        <v>3.5</v>
      </c>
      <c r="C9" s="16">
        <v>6.3</v>
      </c>
      <c r="D9" s="16">
        <v>50.5</v>
      </c>
      <c r="E9" s="36">
        <v>2.16</v>
      </c>
      <c r="F9" s="14">
        <v>3.5</v>
      </c>
      <c r="G9" s="16">
        <v>6.3</v>
      </c>
      <c r="H9" s="16">
        <v>45.1</v>
      </c>
      <c r="I9" s="16">
        <v>8.1999999999999993</v>
      </c>
      <c r="J9" s="14">
        <v>3.4</v>
      </c>
      <c r="K9" s="16">
        <v>6.6</v>
      </c>
      <c r="L9" s="16">
        <v>51</v>
      </c>
      <c r="M9" s="36">
        <v>8.8000000000000007</v>
      </c>
    </row>
    <row r="10" spans="1:13">
      <c r="A10" s="135">
        <v>8</v>
      </c>
      <c r="B10" s="14">
        <v>3.5</v>
      </c>
      <c r="C10" s="16">
        <v>6.2</v>
      </c>
      <c r="D10" s="16">
        <v>50.6</v>
      </c>
      <c r="E10" s="36">
        <v>2.11</v>
      </c>
      <c r="F10" s="14">
        <v>3.5</v>
      </c>
      <c r="G10" s="16">
        <v>5.9</v>
      </c>
      <c r="H10" s="16">
        <v>45.5</v>
      </c>
      <c r="I10" s="16">
        <v>8.1</v>
      </c>
      <c r="J10" s="14">
        <v>3.5</v>
      </c>
      <c r="K10" s="16">
        <v>5.6</v>
      </c>
      <c r="L10" s="16">
        <v>50.7</v>
      </c>
      <c r="M10" s="36">
        <v>8.5</v>
      </c>
    </row>
    <row r="11" spans="1:13">
      <c r="A11" s="135">
        <v>9</v>
      </c>
      <c r="B11" s="14">
        <v>3.5</v>
      </c>
      <c r="C11" s="16">
        <v>6.2</v>
      </c>
      <c r="D11" s="16">
        <v>50.9</v>
      </c>
      <c r="E11" s="36">
        <v>2.14</v>
      </c>
      <c r="F11" s="14">
        <v>3.5</v>
      </c>
      <c r="G11" s="16">
        <v>6.3</v>
      </c>
      <c r="H11" s="16">
        <v>45.9</v>
      </c>
      <c r="I11" s="16">
        <v>8</v>
      </c>
      <c r="J11" s="14">
        <v>3.4</v>
      </c>
      <c r="K11" s="16">
        <v>6.6</v>
      </c>
      <c r="L11" s="16">
        <v>50</v>
      </c>
      <c r="M11" s="36">
        <v>8.1</v>
      </c>
    </row>
    <row r="12" spans="1:13">
      <c r="A12" s="135">
        <v>10</v>
      </c>
      <c r="B12" s="14">
        <v>3.5</v>
      </c>
      <c r="C12" s="16">
        <v>5.8</v>
      </c>
      <c r="D12" s="16">
        <v>51.1</v>
      </c>
      <c r="E12" s="36">
        <v>2.2200000000000002</v>
      </c>
      <c r="F12" s="14">
        <v>3.4</v>
      </c>
      <c r="G12" s="16">
        <v>6.7</v>
      </c>
      <c r="H12" s="16">
        <v>46.1</v>
      </c>
      <c r="I12" s="16">
        <v>7.9</v>
      </c>
      <c r="J12" s="14">
        <v>3.4</v>
      </c>
      <c r="K12" s="16">
        <v>6.7</v>
      </c>
      <c r="L12" s="16">
        <v>49</v>
      </c>
      <c r="M12" s="36">
        <v>8.1</v>
      </c>
    </row>
    <row r="13" spans="1:13">
      <c r="A13" s="135">
        <v>11</v>
      </c>
      <c r="B13" s="14">
        <v>3.5</v>
      </c>
      <c r="C13" s="16">
        <v>6.3</v>
      </c>
      <c r="D13" s="16">
        <v>51.3</v>
      </c>
      <c r="E13" s="36">
        <v>3.86</v>
      </c>
      <c r="F13" s="14">
        <v>3.4</v>
      </c>
      <c r="G13" s="16">
        <v>6.2</v>
      </c>
      <c r="H13" s="16">
        <v>47.1</v>
      </c>
      <c r="I13" s="16">
        <v>8.1999999999999993</v>
      </c>
      <c r="J13" s="14">
        <v>3.5</v>
      </c>
      <c r="K13" s="16">
        <v>6.2</v>
      </c>
      <c r="L13" s="16">
        <v>48.6</v>
      </c>
      <c r="M13" s="36">
        <v>7.7</v>
      </c>
    </row>
    <row r="14" spans="1:13">
      <c r="A14" s="135">
        <v>12</v>
      </c>
      <c r="B14" s="14">
        <v>3.5</v>
      </c>
      <c r="C14" s="16">
        <v>6.3</v>
      </c>
      <c r="D14" s="16">
        <v>49.6</v>
      </c>
      <c r="E14" s="36">
        <v>4.1399999999999997</v>
      </c>
      <c r="F14" s="14">
        <v>3.5</v>
      </c>
      <c r="G14" s="16">
        <v>5.8</v>
      </c>
      <c r="H14" s="16">
        <v>47.7</v>
      </c>
      <c r="I14" s="16">
        <v>8.4</v>
      </c>
      <c r="J14" s="14">
        <v>3.5</v>
      </c>
      <c r="K14" s="16">
        <v>5.9</v>
      </c>
      <c r="L14" s="16">
        <v>48.5</v>
      </c>
      <c r="M14" s="36">
        <v>7.4</v>
      </c>
    </row>
    <row r="15" spans="1:13">
      <c r="A15" s="135">
        <v>13</v>
      </c>
      <c r="B15" s="14">
        <v>3.5</v>
      </c>
      <c r="C15" s="16">
        <v>6.2</v>
      </c>
      <c r="D15" s="16">
        <v>48.8</v>
      </c>
      <c r="E15" s="36">
        <v>4.8600000000000003</v>
      </c>
      <c r="F15" s="14">
        <v>3.4</v>
      </c>
      <c r="G15" s="16">
        <v>6.7</v>
      </c>
      <c r="H15" s="16">
        <v>48.4</v>
      </c>
      <c r="I15" s="16">
        <v>8.4</v>
      </c>
      <c r="J15" s="14">
        <v>3.4</v>
      </c>
      <c r="K15" s="16">
        <v>6.5</v>
      </c>
      <c r="L15" s="16">
        <v>48.4</v>
      </c>
      <c r="M15" s="36">
        <v>6.7</v>
      </c>
    </row>
    <row r="16" spans="1:13">
      <c r="A16" s="135">
        <v>14</v>
      </c>
      <c r="B16" s="14">
        <v>3.5</v>
      </c>
      <c r="C16" s="16">
        <v>6</v>
      </c>
      <c r="D16" s="16">
        <v>48.3</v>
      </c>
      <c r="E16" s="36">
        <v>3.36</v>
      </c>
      <c r="F16" s="14">
        <v>3.4</v>
      </c>
      <c r="G16" s="16">
        <v>6.5</v>
      </c>
      <c r="H16" s="16">
        <v>49.5</v>
      </c>
      <c r="I16" s="16">
        <v>8.6999999999999993</v>
      </c>
      <c r="J16" s="14">
        <v>3.4</v>
      </c>
      <c r="K16" s="16">
        <v>6.7</v>
      </c>
      <c r="L16" s="16">
        <v>48.5</v>
      </c>
      <c r="M16" s="36">
        <v>6.9</v>
      </c>
    </row>
    <row r="17" spans="1:13">
      <c r="A17" s="135">
        <v>15</v>
      </c>
      <c r="B17" s="14">
        <v>3.5</v>
      </c>
      <c r="C17" s="16">
        <v>5.8</v>
      </c>
      <c r="D17" s="16">
        <v>48</v>
      </c>
      <c r="E17" s="36">
        <v>2.2799999999999998</v>
      </c>
      <c r="F17" s="136">
        <v>3.4</v>
      </c>
      <c r="G17" s="137">
        <v>6.1</v>
      </c>
      <c r="H17" s="137">
        <v>50.1</v>
      </c>
      <c r="I17" s="137">
        <v>8.9</v>
      </c>
      <c r="J17" s="14">
        <v>3.4</v>
      </c>
      <c r="K17" s="16">
        <v>6.2</v>
      </c>
      <c r="L17" s="16">
        <v>48.6</v>
      </c>
      <c r="M17" s="36">
        <v>7.2</v>
      </c>
    </row>
    <row r="18" spans="1:13">
      <c r="A18" s="135">
        <v>16</v>
      </c>
      <c r="B18" s="14">
        <v>3.4</v>
      </c>
      <c r="C18" s="16">
        <v>6.3</v>
      </c>
      <c r="D18" s="16">
        <v>47.9</v>
      </c>
      <c r="E18" s="36">
        <v>2.08</v>
      </c>
      <c r="F18" s="14">
        <v>3.5</v>
      </c>
      <c r="G18" s="16">
        <v>5.9</v>
      </c>
      <c r="H18" s="16">
        <v>50.5</v>
      </c>
      <c r="I18" s="16">
        <v>8.6999999999999993</v>
      </c>
      <c r="J18" s="14">
        <v>3.5</v>
      </c>
      <c r="K18" s="16">
        <v>5.9</v>
      </c>
      <c r="L18" s="16">
        <v>48.6</v>
      </c>
      <c r="M18" s="36">
        <v>7.5</v>
      </c>
    </row>
    <row r="19" spans="1:13">
      <c r="A19" s="135">
        <v>17</v>
      </c>
      <c r="B19" s="14">
        <v>3.4</v>
      </c>
      <c r="C19" s="16">
        <v>6.3</v>
      </c>
      <c r="D19" s="16">
        <v>48.1</v>
      </c>
      <c r="E19" s="36">
        <v>2.13</v>
      </c>
      <c r="F19" s="14">
        <v>3.4</v>
      </c>
      <c r="G19" s="16">
        <v>6.8</v>
      </c>
      <c r="H19" s="16">
        <v>50.4</v>
      </c>
      <c r="I19" s="16">
        <v>8.9</v>
      </c>
      <c r="J19" s="14">
        <v>3.4</v>
      </c>
      <c r="K19" s="16">
        <v>6.5</v>
      </c>
      <c r="L19" s="16">
        <v>48.5</v>
      </c>
      <c r="M19" s="36">
        <v>7</v>
      </c>
    </row>
    <row r="20" spans="1:13">
      <c r="A20" s="135">
        <v>18</v>
      </c>
      <c r="B20" s="14">
        <v>3.4</v>
      </c>
      <c r="C20" s="16">
        <v>6.2</v>
      </c>
      <c r="D20" s="16">
        <v>48.6</v>
      </c>
      <c r="E20" s="36">
        <v>2.16</v>
      </c>
      <c r="F20" s="14">
        <v>3.4</v>
      </c>
      <c r="G20" s="16">
        <v>6.2</v>
      </c>
      <c r="H20" s="16">
        <v>49.9</v>
      </c>
      <c r="I20" s="16">
        <v>7.7</v>
      </c>
      <c r="J20" s="14">
        <v>3.4</v>
      </c>
      <c r="K20" s="16">
        <v>6.6</v>
      </c>
      <c r="L20" s="16">
        <v>48.4</v>
      </c>
      <c r="M20" s="36">
        <v>7.4</v>
      </c>
    </row>
    <row r="21" spans="1:13" ht="15.75" customHeight="1">
      <c r="A21" s="135">
        <v>19</v>
      </c>
      <c r="B21" s="14">
        <v>3.5</v>
      </c>
      <c r="C21" s="16">
        <v>6</v>
      </c>
      <c r="D21" s="16">
        <v>48.8</v>
      </c>
      <c r="E21" s="36">
        <v>3.49</v>
      </c>
      <c r="F21" s="14">
        <v>3.4</v>
      </c>
      <c r="G21" s="16">
        <v>5.9</v>
      </c>
      <c r="H21" s="16">
        <v>50.7</v>
      </c>
      <c r="I21" s="16">
        <v>8.1999999999999993</v>
      </c>
      <c r="J21" s="14">
        <v>3.4</v>
      </c>
      <c r="K21" s="16">
        <v>6.1</v>
      </c>
      <c r="L21" s="16">
        <v>48.3</v>
      </c>
      <c r="M21" s="36">
        <v>7.4</v>
      </c>
    </row>
    <row r="22" spans="1:13" ht="15.75" customHeight="1">
      <c r="A22" s="135">
        <v>20</v>
      </c>
      <c r="B22" s="14">
        <v>3.5</v>
      </c>
      <c r="C22" s="16">
        <v>5.8</v>
      </c>
      <c r="D22" s="16">
        <v>48.8</v>
      </c>
      <c r="E22" s="36">
        <v>4.62</v>
      </c>
      <c r="F22" s="14">
        <v>3.4</v>
      </c>
      <c r="G22" s="16">
        <v>6.5</v>
      </c>
      <c r="H22" s="16">
        <v>51.3</v>
      </c>
      <c r="I22" s="16">
        <v>8.9</v>
      </c>
      <c r="J22" s="14">
        <v>3.5</v>
      </c>
      <c r="K22" s="16">
        <v>5.8</v>
      </c>
      <c r="L22" s="16">
        <v>48.1</v>
      </c>
      <c r="M22" s="36">
        <v>7.1</v>
      </c>
    </row>
    <row r="23" spans="1:13" ht="15.75" customHeight="1">
      <c r="A23" s="135">
        <v>21</v>
      </c>
      <c r="B23" s="14">
        <v>3.4</v>
      </c>
      <c r="C23" s="16">
        <v>6.3</v>
      </c>
      <c r="D23" s="16">
        <v>48.3</v>
      </c>
      <c r="E23" s="36">
        <v>3.11</v>
      </c>
      <c r="F23" s="14">
        <v>3.4</v>
      </c>
      <c r="G23" s="16">
        <v>6.6</v>
      </c>
      <c r="H23" s="16">
        <v>51.7</v>
      </c>
      <c r="I23" s="16">
        <v>8.6999999999999993</v>
      </c>
      <c r="J23" s="14">
        <v>3.4</v>
      </c>
      <c r="K23" s="16">
        <v>6.8</v>
      </c>
      <c r="L23" s="16">
        <v>48.1</v>
      </c>
      <c r="M23" s="36">
        <v>7.5</v>
      </c>
    </row>
    <row r="24" spans="1:13" ht="15.75" customHeight="1">
      <c r="A24" s="135">
        <v>22</v>
      </c>
      <c r="B24" s="14">
        <v>3.4</v>
      </c>
      <c r="C24" s="16">
        <v>6.3</v>
      </c>
      <c r="D24" s="16">
        <v>47.9</v>
      </c>
      <c r="E24" s="36">
        <v>2.0499999999999998</v>
      </c>
      <c r="F24" s="14">
        <v>3.4</v>
      </c>
      <c r="G24" s="16">
        <v>6.1</v>
      </c>
      <c r="H24" s="16">
        <v>52.1</v>
      </c>
      <c r="I24" s="16">
        <v>9</v>
      </c>
      <c r="J24" s="14">
        <v>3.4</v>
      </c>
      <c r="K24" s="16">
        <v>6.5</v>
      </c>
      <c r="L24" s="16">
        <v>47.4</v>
      </c>
      <c r="M24" s="36">
        <v>8.5</v>
      </c>
    </row>
    <row r="25" spans="1:13" ht="15.75" customHeight="1">
      <c r="A25" s="135">
        <v>23</v>
      </c>
      <c r="B25" s="14">
        <v>3.4</v>
      </c>
      <c r="C25" s="16">
        <v>6.2</v>
      </c>
      <c r="D25" s="16">
        <v>48</v>
      </c>
      <c r="E25" s="36">
        <v>2.02</v>
      </c>
      <c r="F25" s="14">
        <v>3.4</v>
      </c>
      <c r="G25" s="16">
        <v>5.8</v>
      </c>
      <c r="H25" s="16">
        <v>52.5</v>
      </c>
      <c r="I25" s="16">
        <v>9.1999999999999993</v>
      </c>
      <c r="J25" s="14">
        <v>3.4</v>
      </c>
      <c r="K25" s="16">
        <v>6.1</v>
      </c>
      <c r="L25" s="16">
        <v>45.7</v>
      </c>
      <c r="M25" s="36">
        <v>10.1</v>
      </c>
    </row>
    <row r="26" spans="1:13" ht="15.75" customHeight="1">
      <c r="A26" s="135">
        <v>24</v>
      </c>
      <c r="B26" s="14">
        <v>3.4</v>
      </c>
      <c r="C26" s="16">
        <v>6</v>
      </c>
      <c r="D26" s="16">
        <v>48.4</v>
      </c>
      <c r="E26" s="36">
        <v>2.0699999999999998</v>
      </c>
      <c r="F26" s="14">
        <v>3.4</v>
      </c>
      <c r="G26" s="16">
        <v>6.8</v>
      </c>
      <c r="H26" s="16">
        <v>52.8</v>
      </c>
      <c r="I26" s="16">
        <v>9.3000000000000007</v>
      </c>
      <c r="J26" s="14">
        <v>3.5</v>
      </c>
      <c r="K26" s="16">
        <v>5.9</v>
      </c>
      <c r="L26" s="16">
        <v>44.2</v>
      </c>
      <c r="M26" s="36">
        <v>10.1</v>
      </c>
    </row>
    <row r="27" spans="1:13" ht="15.75" customHeight="1">
      <c r="A27" s="135">
        <v>25</v>
      </c>
      <c r="B27" s="14">
        <v>3.5</v>
      </c>
      <c r="C27" s="16">
        <v>5.8</v>
      </c>
      <c r="D27" s="16">
        <v>48.9</v>
      </c>
      <c r="E27" s="36">
        <v>3.4</v>
      </c>
      <c r="F27" s="14">
        <v>3.4</v>
      </c>
      <c r="G27" s="16">
        <v>6.4</v>
      </c>
      <c r="H27" s="16">
        <v>53</v>
      </c>
      <c r="I27" s="16">
        <v>9.4</v>
      </c>
      <c r="J27" s="14">
        <v>3.4</v>
      </c>
      <c r="K27" s="16">
        <v>6.9</v>
      </c>
      <c r="L27" s="16">
        <v>43.3</v>
      </c>
      <c r="M27" s="36">
        <v>10.5</v>
      </c>
    </row>
    <row r="28" spans="1:13" ht="15.75" customHeight="1">
      <c r="A28" s="135">
        <v>26</v>
      </c>
      <c r="B28" s="14">
        <v>3.5</v>
      </c>
      <c r="C28" s="16">
        <v>5.4</v>
      </c>
      <c r="D28" s="16">
        <v>49</v>
      </c>
      <c r="E28" s="36">
        <v>3.97</v>
      </c>
      <c r="F28" s="14">
        <v>3.4</v>
      </c>
      <c r="G28" s="16">
        <v>5.7</v>
      </c>
      <c r="H28" s="16">
        <v>53.2</v>
      </c>
      <c r="I28" s="16">
        <v>9.5</v>
      </c>
      <c r="J28" s="14">
        <v>3.4</v>
      </c>
      <c r="K28" s="16">
        <v>6.5</v>
      </c>
      <c r="L28" s="16">
        <v>43.1</v>
      </c>
      <c r="M28" s="36">
        <v>9.4</v>
      </c>
    </row>
    <row r="29" spans="1:13" ht="15.75" customHeight="1">
      <c r="A29" s="135">
        <v>27</v>
      </c>
      <c r="B29" s="14">
        <v>3.4</v>
      </c>
      <c r="C29" s="16">
        <v>6.3</v>
      </c>
      <c r="D29" s="16">
        <v>48.4</v>
      </c>
      <c r="E29" s="36">
        <v>3.89</v>
      </c>
      <c r="F29" s="14">
        <v>3.4</v>
      </c>
      <c r="G29" s="16">
        <v>6.4</v>
      </c>
      <c r="H29" s="16">
        <v>53.2</v>
      </c>
      <c r="I29" s="16">
        <v>9.4</v>
      </c>
      <c r="J29" s="14">
        <v>3.4</v>
      </c>
      <c r="K29" s="16">
        <v>6.1</v>
      </c>
      <c r="L29" s="16">
        <v>43.5</v>
      </c>
      <c r="M29" s="36">
        <v>8.1</v>
      </c>
    </row>
    <row r="30" spans="1:13" ht="15.75" customHeight="1">
      <c r="A30" s="135">
        <v>28</v>
      </c>
      <c r="B30" s="14">
        <v>3.4</v>
      </c>
      <c r="C30" s="16">
        <v>6.1</v>
      </c>
      <c r="D30" s="16">
        <v>48</v>
      </c>
      <c r="E30" s="36">
        <v>1.89</v>
      </c>
      <c r="F30" s="14">
        <v>3.4</v>
      </c>
      <c r="G30" s="16">
        <v>6.6</v>
      </c>
      <c r="H30" s="16">
        <v>53</v>
      </c>
      <c r="I30" s="16">
        <v>9.3000000000000007</v>
      </c>
      <c r="J30" s="14">
        <v>3.5</v>
      </c>
      <c r="K30" s="16">
        <v>5.8</v>
      </c>
      <c r="L30" s="16">
        <v>44</v>
      </c>
      <c r="M30" s="36">
        <v>8.5</v>
      </c>
    </row>
    <row r="31" spans="1:13" ht="15.75" customHeight="1">
      <c r="A31" s="135">
        <v>29</v>
      </c>
      <c r="B31" s="14">
        <v>3.4</v>
      </c>
      <c r="C31" s="16">
        <v>5.9</v>
      </c>
      <c r="D31" s="16">
        <v>48</v>
      </c>
      <c r="E31" s="36">
        <v>1.68</v>
      </c>
      <c r="F31" s="14">
        <v>3.4</v>
      </c>
      <c r="G31" s="16">
        <v>6.2</v>
      </c>
      <c r="H31" s="16">
        <v>52.8</v>
      </c>
      <c r="I31" s="16">
        <v>9.1</v>
      </c>
      <c r="J31" s="14">
        <v>3.4</v>
      </c>
      <c r="K31" s="16">
        <v>6.8</v>
      </c>
      <c r="L31" s="16">
        <v>43.3</v>
      </c>
      <c r="M31" s="36">
        <v>9.4</v>
      </c>
    </row>
    <row r="32" spans="1:13" ht="15.75" customHeight="1">
      <c r="A32" s="135">
        <v>30</v>
      </c>
      <c r="B32" s="14">
        <v>3.4</v>
      </c>
      <c r="C32" s="16">
        <v>6.2</v>
      </c>
      <c r="D32" s="16">
        <v>48.3</v>
      </c>
      <c r="E32" s="36">
        <v>1.96</v>
      </c>
      <c r="F32" s="14">
        <v>3.4</v>
      </c>
      <c r="G32" s="16">
        <v>5.8</v>
      </c>
      <c r="H32" s="16">
        <v>52.8</v>
      </c>
      <c r="I32" s="16">
        <v>9</v>
      </c>
      <c r="J32" s="14">
        <v>3.4</v>
      </c>
      <c r="K32" s="16">
        <v>6.5</v>
      </c>
      <c r="L32" s="16">
        <v>42.8</v>
      </c>
      <c r="M32" s="36">
        <v>9.4</v>
      </c>
    </row>
    <row r="33" spans="1:13" ht="15.75" customHeight="1">
      <c r="A33" s="135">
        <v>31</v>
      </c>
      <c r="B33" s="14">
        <v>3.4</v>
      </c>
      <c r="C33" s="16">
        <v>6.3</v>
      </c>
      <c r="D33" s="16">
        <v>48.6</v>
      </c>
      <c r="E33" s="36">
        <v>2.14</v>
      </c>
      <c r="F33" s="14">
        <v>3.4</v>
      </c>
      <c r="G33" s="16">
        <v>6.7</v>
      </c>
      <c r="H33" s="16">
        <v>52.9</v>
      </c>
      <c r="I33" s="16">
        <v>8.6999999999999993</v>
      </c>
      <c r="J33" s="14">
        <v>3.4</v>
      </c>
      <c r="K33" s="16">
        <v>6.1</v>
      </c>
      <c r="L33" s="16">
        <v>42.8</v>
      </c>
      <c r="M33" s="36">
        <v>8.6</v>
      </c>
    </row>
    <row r="34" spans="1:13" ht="15.75" customHeight="1">
      <c r="A34" s="135">
        <v>32</v>
      </c>
      <c r="B34" s="14">
        <v>3.4</v>
      </c>
      <c r="C34" s="16">
        <v>6.2</v>
      </c>
      <c r="D34" s="16">
        <v>49</v>
      </c>
      <c r="E34" s="36">
        <v>3.78</v>
      </c>
      <c r="F34" s="14">
        <v>3.4</v>
      </c>
      <c r="G34" s="16">
        <v>6.5</v>
      </c>
      <c r="H34" s="16">
        <v>53</v>
      </c>
      <c r="I34" s="16">
        <v>8.5</v>
      </c>
      <c r="J34" s="14">
        <v>3.5</v>
      </c>
      <c r="K34" s="16">
        <v>5.8</v>
      </c>
      <c r="L34" s="16">
        <v>43.3</v>
      </c>
      <c r="M34" s="36">
        <v>9.6</v>
      </c>
    </row>
    <row r="35" spans="1:13" ht="15.75" customHeight="1">
      <c r="A35" s="135">
        <v>33</v>
      </c>
      <c r="B35" s="14">
        <v>3.4</v>
      </c>
      <c r="C35" s="16">
        <v>6.1</v>
      </c>
      <c r="D35" s="16">
        <v>48.7</v>
      </c>
      <c r="E35" s="36">
        <v>4.45</v>
      </c>
      <c r="F35" s="14">
        <v>3.4</v>
      </c>
      <c r="G35" s="16">
        <v>6</v>
      </c>
      <c r="H35" s="16">
        <v>52.8</v>
      </c>
      <c r="I35" s="16">
        <v>8.5</v>
      </c>
      <c r="J35" s="14">
        <v>3.4</v>
      </c>
      <c r="K35" s="16">
        <v>6.4</v>
      </c>
      <c r="L35" s="16">
        <v>43.5</v>
      </c>
      <c r="M35" s="36">
        <v>8.9</v>
      </c>
    </row>
    <row r="36" spans="1:13" ht="15.75" customHeight="1">
      <c r="A36" s="135">
        <v>34</v>
      </c>
      <c r="B36" s="14">
        <v>3.4</v>
      </c>
      <c r="C36" s="16">
        <v>5.9</v>
      </c>
      <c r="D36" s="16">
        <v>48.5</v>
      </c>
      <c r="E36" s="36">
        <v>2.74</v>
      </c>
      <c r="F36" s="14">
        <v>3.4</v>
      </c>
      <c r="G36" s="16">
        <v>6</v>
      </c>
      <c r="H36" s="16">
        <v>52.6</v>
      </c>
      <c r="I36" s="16">
        <v>8.6</v>
      </c>
      <c r="J36" s="14">
        <v>3.4</v>
      </c>
      <c r="K36" s="16">
        <v>6.3</v>
      </c>
      <c r="L36" s="16">
        <v>44</v>
      </c>
      <c r="M36" s="36">
        <v>8.9</v>
      </c>
    </row>
    <row r="37" spans="1:13" ht="15.75" customHeight="1">
      <c r="A37" s="135">
        <v>35</v>
      </c>
      <c r="B37" s="14">
        <v>3.4</v>
      </c>
      <c r="C37" s="16">
        <v>6.2</v>
      </c>
      <c r="D37" s="16">
        <v>50.4</v>
      </c>
      <c r="E37" s="36">
        <v>3.83</v>
      </c>
      <c r="F37" s="14">
        <v>3.4</v>
      </c>
      <c r="G37" s="16">
        <v>6.8</v>
      </c>
      <c r="H37" s="16">
        <v>52.3</v>
      </c>
      <c r="I37" s="16">
        <v>8.6999999999999993</v>
      </c>
      <c r="J37" s="14">
        <v>3.4</v>
      </c>
      <c r="K37" s="16">
        <v>5.9</v>
      </c>
      <c r="L37" s="16">
        <v>43.9</v>
      </c>
      <c r="M37" s="36">
        <v>8.4</v>
      </c>
    </row>
    <row r="38" spans="1:13" ht="15.75" customHeight="1">
      <c r="A38" s="135">
        <v>36</v>
      </c>
      <c r="B38" s="14">
        <v>3.4</v>
      </c>
      <c r="C38" s="16">
        <v>6.3</v>
      </c>
      <c r="D38" s="16">
        <v>50.3</v>
      </c>
      <c r="E38" s="36">
        <v>4.51</v>
      </c>
      <c r="F38" s="14">
        <v>3.4</v>
      </c>
      <c r="G38" s="16">
        <v>6.3</v>
      </c>
      <c r="H38" s="16">
        <v>52.1</v>
      </c>
      <c r="I38" s="16">
        <v>8.9</v>
      </c>
      <c r="J38" s="14">
        <v>3.4</v>
      </c>
      <c r="K38" s="16">
        <v>6.6</v>
      </c>
      <c r="L38" s="16">
        <v>44.6</v>
      </c>
      <c r="M38" s="36">
        <v>6.8</v>
      </c>
    </row>
    <row r="39" spans="1:13" ht="15.75" customHeight="1">
      <c r="A39" s="135">
        <v>37</v>
      </c>
      <c r="B39" s="14">
        <v>3.4</v>
      </c>
      <c r="C39" s="16">
        <v>6.2</v>
      </c>
      <c r="D39" s="16">
        <v>50.1</v>
      </c>
      <c r="E39" s="36">
        <v>3.99</v>
      </c>
      <c r="F39" s="14">
        <v>3.4</v>
      </c>
      <c r="G39" s="16">
        <v>5.9</v>
      </c>
      <c r="H39" s="16">
        <v>51.9</v>
      </c>
      <c r="I39" s="16">
        <v>9.1999999999999993</v>
      </c>
      <c r="J39" s="14">
        <v>3.4</v>
      </c>
      <c r="K39" s="16">
        <v>6.7</v>
      </c>
      <c r="L39" s="16">
        <v>44.8</v>
      </c>
      <c r="M39" s="36">
        <v>8.6999999999999993</v>
      </c>
    </row>
    <row r="40" spans="1:13" ht="15.75" customHeight="1">
      <c r="A40" s="135">
        <v>38</v>
      </c>
      <c r="B40" s="14">
        <v>3.4</v>
      </c>
      <c r="C40" s="16">
        <v>6.1</v>
      </c>
      <c r="D40" s="16">
        <v>49.7</v>
      </c>
      <c r="E40" s="36">
        <v>2.48</v>
      </c>
      <c r="F40" s="14">
        <v>3.4</v>
      </c>
      <c r="G40" s="16">
        <v>6.4</v>
      </c>
      <c r="H40" s="16">
        <v>51.7</v>
      </c>
      <c r="I40" s="16">
        <v>9.4</v>
      </c>
      <c r="J40" s="14">
        <v>3.4</v>
      </c>
      <c r="K40" s="16">
        <v>6.2</v>
      </c>
      <c r="L40" s="16">
        <v>44.7</v>
      </c>
      <c r="M40" s="36">
        <v>7.7</v>
      </c>
    </row>
    <row r="41" spans="1:13" ht="15.75" customHeight="1">
      <c r="A41" s="135">
        <v>39</v>
      </c>
      <c r="B41" s="14">
        <v>3.4</v>
      </c>
      <c r="C41" s="16">
        <v>5.9</v>
      </c>
      <c r="D41" s="16">
        <v>49.6</v>
      </c>
      <c r="E41" s="36">
        <v>2.2200000000000002</v>
      </c>
      <c r="F41" s="14">
        <v>3.4</v>
      </c>
      <c r="G41" s="16">
        <v>6.6</v>
      </c>
      <c r="H41" s="16">
        <v>51.4</v>
      </c>
      <c r="I41" s="16">
        <v>9.3000000000000007</v>
      </c>
      <c r="J41" s="14">
        <v>3.4</v>
      </c>
      <c r="K41" s="16">
        <v>5.9</v>
      </c>
      <c r="L41" s="16">
        <v>45.7</v>
      </c>
      <c r="M41" s="36">
        <v>6.9</v>
      </c>
    </row>
    <row r="42" spans="1:13" ht="15.75" customHeight="1">
      <c r="A42" s="135">
        <v>40</v>
      </c>
      <c r="B42" s="14">
        <v>3.4</v>
      </c>
      <c r="C42" s="16">
        <v>6.3</v>
      </c>
      <c r="D42" s="16">
        <v>49.5</v>
      </c>
      <c r="E42" s="36">
        <v>2.1</v>
      </c>
      <c r="F42" s="14">
        <v>3.4</v>
      </c>
      <c r="G42" s="16">
        <v>6.2</v>
      </c>
      <c r="H42" s="16">
        <v>51.2</v>
      </c>
      <c r="I42" s="16">
        <v>9.4</v>
      </c>
      <c r="J42" s="14">
        <v>3.4</v>
      </c>
      <c r="K42" s="16">
        <v>6.6</v>
      </c>
      <c r="L42" s="16">
        <v>45.9</v>
      </c>
      <c r="M42" s="36">
        <v>9.1</v>
      </c>
    </row>
    <row r="43" spans="1:13" ht="15.75" customHeight="1">
      <c r="A43" s="135">
        <v>41</v>
      </c>
      <c r="B43" s="14">
        <v>3.4</v>
      </c>
      <c r="C43" s="16">
        <v>6.3</v>
      </c>
      <c r="D43" s="16">
        <v>49.5</v>
      </c>
      <c r="E43" s="36">
        <v>2.14</v>
      </c>
      <c r="F43" s="14">
        <v>3.4</v>
      </c>
      <c r="G43" s="16">
        <v>5.8</v>
      </c>
      <c r="H43" s="16">
        <v>51</v>
      </c>
      <c r="I43" s="16">
        <v>9.4</v>
      </c>
      <c r="J43" s="14">
        <v>3.4</v>
      </c>
      <c r="K43" s="16">
        <v>6.7</v>
      </c>
      <c r="L43" s="16">
        <v>45.6</v>
      </c>
      <c r="M43" s="36">
        <v>8.4</v>
      </c>
    </row>
    <row r="44" spans="1:13" ht="15.75" customHeight="1">
      <c r="A44" s="135">
        <v>42</v>
      </c>
      <c r="B44" s="14">
        <v>3.4</v>
      </c>
      <c r="C44" s="16">
        <v>6.2</v>
      </c>
      <c r="D44" s="16">
        <v>49.6</v>
      </c>
      <c r="E44" s="36">
        <v>2.19</v>
      </c>
      <c r="F44" s="14">
        <v>3.4</v>
      </c>
      <c r="G44" s="16">
        <v>6.8</v>
      </c>
      <c r="H44" s="16">
        <v>50.7</v>
      </c>
      <c r="I44" s="16">
        <v>9.5</v>
      </c>
      <c r="J44" s="14">
        <v>3.4</v>
      </c>
      <c r="K44" s="16">
        <v>6.2</v>
      </c>
      <c r="L44" s="16">
        <v>46.1</v>
      </c>
      <c r="M44" s="36">
        <v>6.6</v>
      </c>
    </row>
    <row r="45" spans="1:13" ht="15.75" customHeight="1">
      <c r="A45" s="135">
        <v>43</v>
      </c>
      <c r="B45" s="14">
        <v>3.4</v>
      </c>
      <c r="C45" s="16">
        <v>6.1</v>
      </c>
      <c r="D45" s="16">
        <v>49.8</v>
      </c>
      <c r="E45" s="36">
        <v>2.1</v>
      </c>
      <c r="F45" s="14">
        <v>3.4</v>
      </c>
      <c r="G45" s="16">
        <v>6.5</v>
      </c>
      <c r="H45" s="16">
        <v>50.5</v>
      </c>
      <c r="I45" s="16">
        <v>9.1999999999999993</v>
      </c>
      <c r="J45" s="14">
        <v>3.4</v>
      </c>
      <c r="K45" s="16">
        <v>5.9</v>
      </c>
      <c r="L45" s="16">
        <v>46.7</v>
      </c>
      <c r="M45" s="36">
        <v>7.7</v>
      </c>
    </row>
    <row r="46" spans="1:13" ht="15.75" customHeight="1">
      <c r="A46" s="135">
        <v>44</v>
      </c>
      <c r="B46" s="14">
        <v>3.4</v>
      </c>
      <c r="C46" s="16">
        <v>5.8</v>
      </c>
      <c r="D46" s="16">
        <v>50</v>
      </c>
      <c r="E46" s="36">
        <v>2.08</v>
      </c>
      <c r="F46" s="14">
        <v>3.4</v>
      </c>
      <c r="G46" s="16">
        <v>6</v>
      </c>
      <c r="H46" s="16">
        <v>50.8</v>
      </c>
      <c r="I46" s="16">
        <v>7.9</v>
      </c>
      <c r="J46" s="14">
        <v>3.4</v>
      </c>
      <c r="K46" s="16">
        <v>6.6</v>
      </c>
      <c r="L46" s="16">
        <v>46.2</v>
      </c>
      <c r="M46" s="36">
        <v>9.1</v>
      </c>
    </row>
    <row r="47" spans="1:13" ht="15.75" customHeight="1">
      <c r="A47" s="135">
        <v>45</v>
      </c>
      <c r="B47" s="14">
        <v>3.4</v>
      </c>
      <c r="C47" s="16">
        <v>6.3</v>
      </c>
      <c r="D47" s="16">
        <v>50.3</v>
      </c>
      <c r="E47" s="36">
        <v>2.67</v>
      </c>
      <c r="F47" s="14">
        <v>3.4</v>
      </c>
      <c r="G47" s="16">
        <v>6</v>
      </c>
      <c r="H47" s="16">
        <v>51</v>
      </c>
      <c r="I47" s="16">
        <v>8</v>
      </c>
      <c r="J47" s="14">
        <v>3.4</v>
      </c>
      <c r="K47" s="16">
        <v>6.7</v>
      </c>
      <c r="L47" s="16">
        <v>46.1</v>
      </c>
      <c r="M47" s="36">
        <v>8.4</v>
      </c>
    </row>
    <row r="48" spans="1:13" ht="15.75" customHeight="1">
      <c r="A48" s="135">
        <v>46</v>
      </c>
      <c r="B48" s="14">
        <v>3.4</v>
      </c>
      <c r="C48" s="16">
        <v>6.3</v>
      </c>
      <c r="D48" s="16">
        <v>50.5</v>
      </c>
      <c r="E48" s="36">
        <v>3.78</v>
      </c>
      <c r="F48" s="14">
        <v>3.4</v>
      </c>
      <c r="G48" s="16">
        <v>6.8</v>
      </c>
      <c r="H48" s="16">
        <v>51.1</v>
      </c>
      <c r="I48" s="16">
        <v>8</v>
      </c>
      <c r="J48" s="14">
        <v>3.4</v>
      </c>
      <c r="K48" s="16">
        <v>6.2</v>
      </c>
      <c r="L48" s="16">
        <v>46.6</v>
      </c>
      <c r="M48" s="36">
        <v>7.9</v>
      </c>
    </row>
    <row r="49" spans="1:13" ht="15.75" customHeight="1">
      <c r="A49" s="135">
        <v>47</v>
      </c>
      <c r="B49" s="14">
        <v>3.4</v>
      </c>
      <c r="C49" s="16">
        <v>6.2</v>
      </c>
      <c r="D49" s="16">
        <v>50.6</v>
      </c>
      <c r="E49" s="36">
        <v>3.85</v>
      </c>
      <c r="F49" s="14">
        <v>3.4</v>
      </c>
      <c r="G49" s="16">
        <v>6.3</v>
      </c>
      <c r="H49" s="16">
        <v>51.5</v>
      </c>
      <c r="I49" s="16">
        <v>8.1</v>
      </c>
      <c r="J49" s="14">
        <v>3.4</v>
      </c>
      <c r="K49" s="16">
        <v>5.9</v>
      </c>
      <c r="L49" s="16">
        <v>47.2</v>
      </c>
      <c r="M49" s="36">
        <v>6.8</v>
      </c>
    </row>
    <row r="50" spans="1:13" ht="15.75" customHeight="1">
      <c r="A50" s="135">
        <v>48</v>
      </c>
      <c r="B50" s="14">
        <v>3.4</v>
      </c>
      <c r="C50" s="16">
        <v>5.9</v>
      </c>
      <c r="D50" s="16">
        <v>50.5</v>
      </c>
      <c r="E50" s="36">
        <v>4.17</v>
      </c>
      <c r="F50" s="14">
        <v>3.4</v>
      </c>
      <c r="G50" s="16">
        <v>5.9</v>
      </c>
      <c r="H50" s="16">
        <v>51.5</v>
      </c>
      <c r="I50" s="16">
        <v>8.3000000000000007</v>
      </c>
      <c r="J50" s="14">
        <v>3.4</v>
      </c>
      <c r="K50" s="16">
        <v>6.6</v>
      </c>
      <c r="L50" s="16">
        <v>47.7</v>
      </c>
      <c r="M50" s="36">
        <v>7</v>
      </c>
    </row>
    <row r="51" spans="1:13" ht="15.75" customHeight="1">
      <c r="A51" s="135">
        <v>49</v>
      </c>
      <c r="B51" s="14">
        <v>3.4</v>
      </c>
      <c r="C51" s="16">
        <v>5.8</v>
      </c>
      <c r="D51" s="16">
        <v>50.4</v>
      </c>
      <c r="E51" s="36">
        <v>4.3099999999999996</v>
      </c>
      <c r="F51" s="14">
        <v>3.4</v>
      </c>
      <c r="G51" s="16">
        <v>6.4</v>
      </c>
      <c r="H51" s="16">
        <v>51.6</v>
      </c>
      <c r="I51" s="16">
        <v>8</v>
      </c>
      <c r="J51" s="14">
        <v>3.4</v>
      </c>
      <c r="K51" s="16">
        <v>6.7</v>
      </c>
      <c r="L51" s="16">
        <v>48.1</v>
      </c>
      <c r="M51" s="36">
        <v>7.4</v>
      </c>
    </row>
    <row r="52" spans="1:13" ht="15.75" customHeight="1">
      <c r="A52" s="135">
        <v>50</v>
      </c>
      <c r="B52" s="14">
        <v>3.4</v>
      </c>
      <c r="C52" s="16">
        <v>6.3</v>
      </c>
      <c r="D52" s="16">
        <v>50</v>
      </c>
      <c r="E52" s="36">
        <v>2.66</v>
      </c>
      <c r="F52" s="14">
        <v>3.4</v>
      </c>
      <c r="G52" s="16">
        <v>6.7</v>
      </c>
      <c r="H52" s="16">
        <v>51.6</v>
      </c>
      <c r="I52" s="16">
        <v>8.1</v>
      </c>
      <c r="J52" s="14">
        <v>3.4</v>
      </c>
      <c r="K52" s="16">
        <v>6.3</v>
      </c>
      <c r="L52" s="16">
        <v>48.1</v>
      </c>
      <c r="M52" s="36">
        <v>6.7</v>
      </c>
    </row>
    <row r="53" spans="1:13" ht="15.75" customHeight="1">
      <c r="A53" s="135">
        <v>51</v>
      </c>
      <c r="B53" s="14">
        <v>3.4</v>
      </c>
      <c r="C53" s="16">
        <v>6.2</v>
      </c>
      <c r="D53" s="16">
        <v>49.8</v>
      </c>
      <c r="E53" s="36">
        <v>2.0299999999999998</v>
      </c>
      <c r="F53" s="14">
        <v>3.4</v>
      </c>
      <c r="G53" s="16">
        <v>6.2</v>
      </c>
      <c r="H53" s="16">
        <v>51.3</v>
      </c>
      <c r="I53" s="16">
        <v>8.3000000000000007</v>
      </c>
      <c r="J53" s="14">
        <v>3.4</v>
      </c>
      <c r="K53" s="16">
        <v>5.9</v>
      </c>
      <c r="L53" s="16">
        <v>48.6</v>
      </c>
      <c r="M53" s="36">
        <v>6.1</v>
      </c>
    </row>
    <row r="54" spans="1:13" ht="15.75" customHeight="1">
      <c r="A54" s="135">
        <v>52</v>
      </c>
      <c r="B54" s="14">
        <v>3.4</v>
      </c>
      <c r="C54" s="16">
        <v>6</v>
      </c>
      <c r="D54" s="16">
        <v>49.8</v>
      </c>
      <c r="E54" s="36">
        <v>1.96</v>
      </c>
      <c r="F54" s="14">
        <v>3.4</v>
      </c>
      <c r="G54" s="16">
        <v>5.8</v>
      </c>
      <c r="H54" s="16">
        <v>51</v>
      </c>
      <c r="I54" s="16">
        <v>8.5</v>
      </c>
      <c r="J54" s="14">
        <v>3.4</v>
      </c>
      <c r="K54" s="16">
        <v>6.5</v>
      </c>
      <c r="L54" s="16">
        <v>49.7</v>
      </c>
      <c r="M54" s="36">
        <v>7.9</v>
      </c>
    </row>
    <row r="55" spans="1:13" ht="15.75" customHeight="1">
      <c r="A55" s="135">
        <v>53</v>
      </c>
      <c r="B55" s="14">
        <v>3.4</v>
      </c>
      <c r="C55" s="16">
        <v>5.8</v>
      </c>
      <c r="D55" s="16">
        <v>50.2</v>
      </c>
      <c r="E55" s="36">
        <v>2.11</v>
      </c>
      <c r="F55" s="14">
        <v>3.4</v>
      </c>
      <c r="G55" s="16">
        <v>6.8</v>
      </c>
      <c r="H55" s="16">
        <v>50.9</v>
      </c>
      <c r="I55" s="16">
        <v>8.1999999999999993</v>
      </c>
      <c r="J55" s="14">
        <v>3.4</v>
      </c>
      <c r="K55" s="16">
        <v>6.7</v>
      </c>
      <c r="L55" s="16">
        <v>50.4</v>
      </c>
      <c r="M55" s="36">
        <v>7.9</v>
      </c>
    </row>
    <row r="56" spans="1:13" ht="15.75" customHeight="1">
      <c r="A56" s="135">
        <v>54</v>
      </c>
      <c r="B56" s="14">
        <v>3.4</v>
      </c>
      <c r="C56" s="16">
        <v>6.3</v>
      </c>
      <c r="D56" s="16">
        <v>50.8</v>
      </c>
      <c r="E56" s="36">
        <v>2.08</v>
      </c>
      <c r="F56" s="14">
        <v>3.4</v>
      </c>
      <c r="G56" s="16">
        <v>6.3</v>
      </c>
      <c r="H56" s="16">
        <v>50.9</v>
      </c>
      <c r="I56" s="16">
        <v>7.9</v>
      </c>
      <c r="J56" s="14">
        <v>3.4</v>
      </c>
      <c r="K56" s="16">
        <v>6.3</v>
      </c>
      <c r="L56" s="16">
        <v>51</v>
      </c>
      <c r="M56" s="36">
        <v>8.3000000000000007</v>
      </c>
    </row>
    <row r="57" spans="1:13" ht="15.75" customHeight="1">
      <c r="A57" s="135">
        <v>55</v>
      </c>
      <c r="B57" s="14">
        <v>3.4</v>
      </c>
      <c r="C57" s="16">
        <v>6.2</v>
      </c>
      <c r="D57" s="16">
        <v>51.1</v>
      </c>
      <c r="E57" s="36">
        <v>3.57</v>
      </c>
      <c r="F57" s="14">
        <v>3.4</v>
      </c>
      <c r="G57" s="16">
        <v>5.9</v>
      </c>
      <c r="H57" s="16">
        <v>51.5</v>
      </c>
      <c r="I57" s="16">
        <v>7.8</v>
      </c>
      <c r="J57" s="14">
        <v>3.4</v>
      </c>
      <c r="K57" s="16">
        <v>5.9</v>
      </c>
      <c r="L57" s="16">
        <v>51.3</v>
      </c>
      <c r="M57" s="36">
        <v>8.1</v>
      </c>
    </row>
    <row r="58" spans="1:13" ht="15.75" customHeight="1">
      <c r="A58" s="135">
        <v>56</v>
      </c>
      <c r="B58" s="14">
        <v>3.4</v>
      </c>
      <c r="C58" s="16">
        <v>6.2</v>
      </c>
      <c r="D58" s="16">
        <v>51</v>
      </c>
      <c r="E58" s="36">
        <v>3.97</v>
      </c>
      <c r="F58" s="14">
        <v>3.4</v>
      </c>
      <c r="G58" s="16">
        <v>6.4</v>
      </c>
      <c r="H58" s="16">
        <v>52.3</v>
      </c>
      <c r="I58" s="16">
        <v>8.1999999999999993</v>
      </c>
      <c r="J58" s="14">
        <v>3.4</v>
      </c>
      <c r="K58" s="16">
        <v>6.5</v>
      </c>
      <c r="L58" s="16">
        <v>51.5</v>
      </c>
      <c r="M58" s="36">
        <v>8.5</v>
      </c>
    </row>
    <row r="59" spans="1:13" ht="15.75" customHeight="1">
      <c r="A59" s="135">
        <v>57</v>
      </c>
      <c r="B59" s="14">
        <v>3.4</v>
      </c>
      <c r="C59" s="16">
        <v>5.9</v>
      </c>
      <c r="D59" s="16">
        <v>51</v>
      </c>
      <c r="E59" s="36">
        <v>4.41</v>
      </c>
      <c r="F59" s="14">
        <v>3.4</v>
      </c>
      <c r="G59" s="16">
        <v>6.6</v>
      </c>
      <c r="H59" s="16">
        <v>52.7</v>
      </c>
      <c r="I59" s="16">
        <v>8.4</v>
      </c>
      <c r="J59" s="14">
        <v>3.4</v>
      </c>
      <c r="K59" s="16">
        <v>6.7</v>
      </c>
      <c r="L59" s="16">
        <v>51.6</v>
      </c>
      <c r="M59" s="36">
        <v>8.8000000000000007</v>
      </c>
    </row>
    <row r="60" spans="1:13" ht="15.75" customHeight="1">
      <c r="A60" s="135">
        <v>58</v>
      </c>
      <c r="B60" s="14">
        <v>3.4</v>
      </c>
      <c r="C60" s="16">
        <v>5.7</v>
      </c>
      <c r="D60" s="16">
        <v>50.8</v>
      </c>
      <c r="E60" s="36">
        <v>4.58</v>
      </c>
      <c r="F60" s="14">
        <v>3.4</v>
      </c>
      <c r="G60" s="16">
        <v>6.2</v>
      </c>
      <c r="H60" s="16">
        <v>53</v>
      </c>
      <c r="I60" s="16">
        <v>8.6</v>
      </c>
      <c r="J60" s="14">
        <v>3.4</v>
      </c>
      <c r="K60" s="16">
        <v>6</v>
      </c>
      <c r="L60" s="16">
        <v>51.8</v>
      </c>
      <c r="M60" s="36">
        <v>9.6</v>
      </c>
    </row>
    <row r="61" spans="1:13" ht="15.75" customHeight="1">
      <c r="A61" s="135">
        <v>59</v>
      </c>
      <c r="B61" s="14">
        <v>3.4</v>
      </c>
      <c r="C61" s="16">
        <v>6.3</v>
      </c>
      <c r="D61" s="16">
        <v>50.5</v>
      </c>
      <c r="E61" s="36">
        <v>2.92</v>
      </c>
      <c r="F61" s="14">
        <v>3.4</v>
      </c>
      <c r="G61" s="16">
        <v>5.8</v>
      </c>
      <c r="H61" s="16">
        <v>53.2</v>
      </c>
      <c r="I61" s="16">
        <v>8.9</v>
      </c>
      <c r="J61" s="14">
        <v>3.4</v>
      </c>
      <c r="K61" s="16">
        <v>6.2</v>
      </c>
      <c r="L61" s="16">
        <v>52.4</v>
      </c>
      <c r="M61" s="36">
        <v>10</v>
      </c>
    </row>
    <row r="62" spans="1:13" ht="15.75" customHeight="1">
      <c r="A62" s="135">
        <v>60</v>
      </c>
      <c r="B62" s="14">
        <v>3.4</v>
      </c>
      <c r="C62" s="16">
        <v>6.2</v>
      </c>
      <c r="D62" s="16">
        <v>50.2</v>
      </c>
      <c r="E62" s="36">
        <v>2.35</v>
      </c>
      <c r="F62" s="14">
        <v>3.4</v>
      </c>
      <c r="G62" s="16">
        <v>6.7</v>
      </c>
      <c r="H62" s="16">
        <v>53.4</v>
      </c>
      <c r="I62" s="16">
        <v>9</v>
      </c>
      <c r="J62" s="14">
        <v>3.4</v>
      </c>
      <c r="K62" s="16">
        <v>6.8</v>
      </c>
      <c r="L62" s="16">
        <v>52.6</v>
      </c>
      <c r="M62" s="36">
        <v>9.9</v>
      </c>
    </row>
    <row r="63" spans="1:13" ht="15.75" customHeight="1">
      <c r="A63" s="135">
        <v>61</v>
      </c>
      <c r="B63" s="14">
        <v>3.4</v>
      </c>
      <c r="C63" s="16">
        <v>6.2</v>
      </c>
      <c r="D63" s="16">
        <v>50.1</v>
      </c>
      <c r="E63" s="36">
        <v>2.2799999999999998</v>
      </c>
      <c r="F63" s="14">
        <v>3.4</v>
      </c>
      <c r="G63" s="16">
        <v>6.5</v>
      </c>
      <c r="H63" s="16">
        <v>53.5</v>
      </c>
      <c r="I63" s="16">
        <v>9.1</v>
      </c>
      <c r="J63" s="14">
        <v>3.4</v>
      </c>
      <c r="K63" s="16">
        <v>6.4</v>
      </c>
      <c r="L63" s="16">
        <v>52.6</v>
      </c>
      <c r="M63" s="36">
        <v>9.5</v>
      </c>
    </row>
    <row r="64" spans="1:13" ht="15.75" customHeight="1">
      <c r="A64" s="135">
        <v>62</v>
      </c>
      <c r="B64" s="14">
        <v>3.4</v>
      </c>
      <c r="C64" s="16">
        <v>6</v>
      </c>
      <c r="D64" s="16">
        <v>50.2</v>
      </c>
      <c r="E64" s="36">
        <v>1.96</v>
      </c>
      <c r="F64" s="14">
        <v>3.4</v>
      </c>
      <c r="G64" s="16">
        <v>6.1</v>
      </c>
      <c r="H64" s="16">
        <v>53.7</v>
      </c>
      <c r="I64" s="16">
        <v>9.1</v>
      </c>
      <c r="J64" s="14">
        <v>3.4</v>
      </c>
      <c r="K64" s="16">
        <v>6</v>
      </c>
      <c r="L64" s="16">
        <v>52.3</v>
      </c>
      <c r="M64" s="36">
        <v>9.8000000000000007</v>
      </c>
    </row>
    <row r="65" spans="1:13" ht="15.75" customHeight="1">
      <c r="A65" s="135">
        <v>63</v>
      </c>
      <c r="B65" s="14">
        <v>3.4</v>
      </c>
      <c r="C65" s="16">
        <v>5.7</v>
      </c>
      <c r="D65" s="16">
        <v>50.1</v>
      </c>
      <c r="E65" s="36">
        <v>1.85</v>
      </c>
      <c r="F65" s="14">
        <v>3.4</v>
      </c>
      <c r="G65" s="16">
        <v>6</v>
      </c>
      <c r="H65" s="16">
        <v>54</v>
      </c>
      <c r="I65" s="16">
        <v>9.1</v>
      </c>
      <c r="J65" s="14">
        <v>3.4</v>
      </c>
      <c r="K65" s="16">
        <v>6.2</v>
      </c>
      <c r="L65" s="16">
        <v>52.4</v>
      </c>
      <c r="M65" s="36">
        <v>10.199999999999999</v>
      </c>
    </row>
    <row r="66" spans="1:13" ht="15.75" customHeight="1">
      <c r="A66" s="135">
        <v>64</v>
      </c>
      <c r="B66" s="14">
        <v>3.4</v>
      </c>
      <c r="C66" s="16">
        <v>6.2</v>
      </c>
      <c r="D66" s="16">
        <v>50.5</v>
      </c>
      <c r="E66" s="36">
        <v>2.0699999999999998</v>
      </c>
      <c r="F66" s="14">
        <v>3.4</v>
      </c>
      <c r="G66" s="16">
        <v>6.8</v>
      </c>
      <c r="H66" s="16">
        <v>54.1</v>
      </c>
      <c r="I66" s="16">
        <v>9</v>
      </c>
      <c r="J66" s="14">
        <v>3.4</v>
      </c>
      <c r="K66" s="16">
        <v>6.8</v>
      </c>
      <c r="L66" s="16">
        <v>52.3</v>
      </c>
      <c r="M66" s="36">
        <v>9.5</v>
      </c>
    </row>
    <row r="67" spans="1:13" ht="15.75" customHeight="1">
      <c r="A67" s="135">
        <v>65</v>
      </c>
      <c r="B67" s="14">
        <v>3.4</v>
      </c>
      <c r="C67" s="16">
        <v>6.2</v>
      </c>
      <c r="D67" s="16">
        <v>50.9</v>
      </c>
      <c r="E67" s="36">
        <v>2.1</v>
      </c>
      <c r="F67" s="14">
        <v>3.4</v>
      </c>
      <c r="G67" s="16">
        <v>6.4</v>
      </c>
      <c r="H67" s="16">
        <v>54.3</v>
      </c>
      <c r="I67" s="16">
        <v>8.9</v>
      </c>
      <c r="J67" s="14">
        <v>3.4</v>
      </c>
      <c r="K67" s="16">
        <v>6.4</v>
      </c>
      <c r="L67" s="16">
        <v>52</v>
      </c>
      <c r="M67" s="36">
        <v>9.1</v>
      </c>
    </row>
    <row r="68" spans="1:13" ht="15.75" customHeight="1">
      <c r="A68" s="135">
        <v>66</v>
      </c>
      <c r="B68" s="14">
        <v>3.4</v>
      </c>
      <c r="C68" s="16">
        <v>6.1</v>
      </c>
      <c r="D68" s="16">
        <v>51</v>
      </c>
      <c r="E68" s="36">
        <v>3.72</v>
      </c>
      <c r="F68" s="14">
        <v>3.4</v>
      </c>
      <c r="G68" s="16">
        <v>6</v>
      </c>
      <c r="H68" s="16">
        <v>54.4</v>
      </c>
      <c r="I68" s="16">
        <v>9</v>
      </c>
      <c r="J68" s="14">
        <v>3.4</v>
      </c>
      <c r="K68" s="16">
        <v>6</v>
      </c>
      <c r="L68" s="16">
        <v>51.7</v>
      </c>
      <c r="M68" s="36">
        <v>8.8000000000000007</v>
      </c>
    </row>
    <row r="69" spans="1:13" ht="15.75" customHeight="1">
      <c r="A69" s="135">
        <v>67</v>
      </c>
      <c r="B69" s="14">
        <v>3.4</v>
      </c>
      <c r="C69" s="16">
        <v>5.9</v>
      </c>
      <c r="D69" s="16">
        <v>51</v>
      </c>
      <c r="E69" s="36">
        <v>4.5599999999999996</v>
      </c>
      <c r="F69" s="14">
        <v>3.4</v>
      </c>
      <c r="G69" s="16">
        <v>6.3</v>
      </c>
      <c r="H69" s="16">
        <v>54.6</v>
      </c>
      <c r="I69" s="16">
        <v>9</v>
      </c>
      <c r="J69" s="14">
        <v>3.4</v>
      </c>
      <c r="K69" s="16">
        <v>6.2</v>
      </c>
      <c r="L69" s="16">
        <v>51.5</v>
      </c>
      <c r="M69" s="36">
        <v>8</v>
      </c>
    </row>
    <row r="70" spans="1:13" ht="15.75" customHeight="1">
      <c r="A70" s="135">
        <v>68</v>
      </c>
      <c r="B70" s="14">
        <v>3.4</v>
      </c>
      <c r="C70" s="16">
        <v>5.7</v>
      </c>
      <c r="D70" s="16">
        <v>50.6</v>
      </c>
      <c r="E70" s="36">
        <v>3.23</v>
      </c>
      <c r="F70" s="14">
        <v>3.4</v>
      </c>
      <c r="G70" s="16">
        <v>6.7</v>
      </c>
      <c r="H70" s="16">
        <v>54.8</v>
      </c>
      <c r="I70" s="16">
        <v>9</v>
      </c>
      <c r="J70" s="14">
        <v>3.4</v>
      </c>
      <c r="K70" s="16">
        <v>6.8</v>
      </c>
      <c r="L70" s="16">
        <v>51.1</v>
      </c>
      <c r="M70" s="36">
        <v>7</v>
      </c>
    </row>
    <row r="71" spans="1:13" ht="15.75" customHeight="1">
      <c r="A71" s="135">
        <v>69</v>
      </c>
      <c r="B71" s="14">
        <v>3.4</v>
      </c>
      <c r="C71" s="16">
        <v>6.3</v>
      </c>
      <c r="D71" s="16">
        <v>50.4</v>
      </c>
      <c r="E71" s="36">
        <v>2.38</v>
      </c>
      <c r="F71" s="14">
        <v>3.4</v>
      </c>
      <c r="G71" s="16">
        <v>6.3</v>
      </c>
      <c r="H71" s="16">
        <v>55</v>
      </c>
      <c r="I71" s="16">
        <v>8.9</v>
      </c>
      <c r="J71" s="14">
        <v>3.4</v>
      </c>
      <c r="K71" s="16">
        <v>6.3</v>
      </c>
      <c r="L71" s="16">
        <v>51.3</v>
      </c>
      <c r="M71" s="36">
        <v>8.5</v>
      </c>
    </row>
    <row r="72" spans="1:13" ht="15.75" customHeight="1">
      <c r="A72" s="135">
        <v>70</v>
      </c>
      <c r="B72" s="14">
        <v>3.4</v>
      </c>
      <c r="C72" s="16">
        <v>6.2</v>
      </c>
      <c r="D72" s="16">
        <v>50.2</v>
      </c>
      <c r="E72" s="36">
        <v>2.2400000000000002</v>
      </c>
      <c r="F72" s="14">
        <v>3.4</v>
      </c>
      <c r="G72" s="16">
        <v>5.9</v>
      </c>
      <c r="H72" s="16">
        <v>55.2</v>
      </c>
      <c r="I72" s="16">
        <v>8.8000000000000007</v>
      </c>
      <c r="J72" s="14">
        <v>3.4</v>
      </c>
      <c r="K72" s="16">
        <v>5.9</v>
      </c>
      <c r="L72" s="16">
        <v>50.6</v>
      </c>
      <c r="M72" s="36">
        <v>8.9</v>
      </c>
    </row>
    <row r="73" spans="1:13" ht="15.75" customHeight="1">
      <c r="A73" s="135">
        <v>71</v>
      </c>
      <c r="B73" s="14">
        <v>3.4</v>
      </c>
      <c r="C73" s="16">
        <v>6.1</v>
      </c>
      <c r="D73" s="16">
        <v>50.2</v>
      </c>
      <c r="E73" s="36">
        <v>2.25</v>
      </c>
      <c r="F73" s="14">
        <v>3.4</v>
      </c>
      <c r="G73" s="16">
        <v>6.6</v>
      </c>
      <c r="H73" s="16">
        <v>55.1</v>
      </c>
      <c r="I73" s="16">
        <v>9</v>
      </c>
      <c r="J73" s="14">
        <v>3.4</v>
      </c>
      <c r="K73" s="16">
        <v>6.5</v>
      </c>
      <c r="L73" s="16">
        <v>51.1</v>
      </c>
      <c r="M73" s="36">
        <v>9</v>
      </c>
    </row>
    <row r="74" spans="1:13" ht="15.75" customHeight="1">
      <c r="A74" s="135">
        <v>72</v>
      </c>
      <c r="B74" s="14">
        <v>3.4</v>
      </c>
      <c r="C74" s="16">
        <v>5.9</v>
      </c>
      <c r="D74" s="16">
        <v>50.1</v>
      </c>
      <c r="E74" s="36">
        <v>2.2200000000000002</v>
      </c>
      <c r="F74" s="14">
        <v>3.4</v>
      </c>
      <c r="G74" s="16">
        <v>6.6</v>
      </c>
      <c r="H74" s="16">
        <v>54.5</v>
      </c>
      <c r="I74" s="16">
        <v>8.8000000000000007</v>
      </c>
      <c r="J74" s="14">
        <v>3.4</v>
      </c>
      <c r="K74" s="16">
        <v>6.7</v>
      </c>
      <c r="L74" s="16">
        <v>51.4</v>
      </c>
      <c r="M74" s="36">
        <v>9.1</v>
      </c>
    </row>
    <row r="75" spans="1:13" ht="15.75" customHeight="1">
      <c r="A75" s="135">
        <v>73</v>
      </c>
      <c r="B75" s="14">
        <v>3.4</v>
      </c>
      <c r="C75" s="16">
        <v>6</v>
      </c>
      <c r="D75" s="16">
        <v>50.1</v>
      </c>
      <c r="E75" s="36">
        <v>2.15</v>
      </c>
      <c r="F75" s="14">
        <v>3.4</v>
      </c>
      <c r="G75" s="16">
        <v>6.1</v>
      </c>
      <c r="H75" s="16">
        <v>54</v>
      </c>
      <c r="I75" s="16">
        <v>8.1999999999999993</v>
      </c>
      <c r="J75" s="14">
        <v>3.4</v>
      </c>
      <c r="K75" s="16">
        <v>6.3</v>
      </c>
      <c r="L75" s="16">
        <v>51</v>
      </c>
      <c r="M75" s="36">
        <v>9</v>
      </c>
    </row>
    <row r="76" spans="1:13" ht="15.75" customHeight="1">
      <c r="A76" s="135">
        <v>74</v>
      </c>
      <c r="B76" s="14">
        <v>3.4</v>
      </c>
      <c r="C76" s="16">
        <v>6.3</v>
      </c>
      <c r="D76" s="16">
        <v>50.1</v>
      </c>
      <c r="E76" s="36">
        <v>2.1</v>
      </c>
      <c r="F76" s="14">
        <v>3.4</v>
      </c>
      <c r="G76" s="16">
        <v>5.9</v>
      </c>
      <c r="H76" s="16">
        <v>54</v>
      </c>
      <c r="I76" s="16">
        <v>8.3000000000000007</v>
      </c>
      <c r="J76" s="14">
        <v>3.4</v>
      </c>
      <c r="K76" s="16">
        <v>5.9</v>
      </c>
      <c r="L76" s="16">
        <v>50.9</v>
      </c>
      <c r="M76" s="36">
        <v>8.6999999999999993</v>
      </c>
    </row>
    <row r="77" spans="1:13" ht="15.75" customHeight="1">
      <c r="A77" s="135">
        <v>75</v>
      </c>
      <c r="B77" s="14">
        <v>3.4</v>
      </c>
      <c r="C77" s="16">
        <v>6.2</v>
      </c>
      <c r="D77" s="16">
        <v>50.2</v>
      </c>
      <c r="E77" s="36">
        <v>2.1</v>
      </c>
      <c r="F77" s="14">
        <v>3.4</v>
      </c>
      <c r="G77" s="16">
        <v>6.8</v>
      </c>
      <c r="H77" s="16">
        <v>54.2</v>
      </c>
      <c r="I77" s="16">
        <v>8.1999999999999993</v>
      </c>
      <c r="J77" s="14">
        <v>3.4</v>
      </c>
      <c r="K77" s="16">
        <v>6.5</v>
      </c>
      <c r="L77" s="16">
        <v>51.2</v>
      </c>
      <c r="M77" s="36">
        <v>8.5</v>
      </c>
    </row>
    <row r="78" spans="1:13" ht="15.75" customHeight="1">
      <c r="A78" s="135">
        <v>76</v>
      </c>
      <c r="B78" s="14">
        <v>3.4</v>
      </c>
      <c r="C78" s="16">
        <v>6.1</v>
      </c>
      <c r="D78" s="16">
        <v>50.3</v>
      </c>
      <c r="E78" s="36">
        <v>2.13</v>
      </c>
      <c r="F78" s="14">
        <v>3.4</v>
      </c>
      <c r="G78" s="16">
        <v>6.5</v>
      </c>
      <c r="H78" s="16">
        <v>54.5</v>
      </c>
      <c r="I78" s="16">
        <v>8.4</v>
      </c>
      <c r="J78" s="14">
        <v>3.4</v>
      </c>
      <c r="K78" s="16">
        <v>6.7</v>
      </c>
      <c r="L78" s="16">
        <v>51.2</v>
      </c>
      <c r="M78" s="36">
        <v>8.5</v>
      </c>
    </row>
    <row r="79" spans="1:13" ht="15.75" customHeight="1">
      <c r="A79" s="135">
        <v>77</v>
      </c>
      <c r="B79" s="14">
        <v>3.4</v>
      </c>
      <c r="C79" s="16">
        <v>6.2</v>
      </c>
      <c r="D79" s="16">
        <v>50.3</v>
      </c>
      <c r="E79" s="36">
        <v>2.11</v>
      </c>
      <c r="F79" s="14">
        <v>3.4</v>
      </c>
      <c r="G79" s="16">
        <v>5.6</v>
      </c>
      <c r="H79" s="16">
        <v>54.8</v>
      </c>
      <c r="I79" s="16">
        <v>8.3000000000000007</v>
      </c>
      <c r="J79" s="14">
        <v>3.4</v>
      </c>
      <c r="K79" s="16">
        <v>6.2</v>
      </c>
      <c r="L79" s="16">
        <v>50.9</v>
      </c>
      <c r="M79" s="36">
        <v>8</v>
      </c>
    </row>
    <row r="80" spans="1:13" ht="15.75" customHeight="1">
      <c r="A80" s="135">
        <v>78</v>
      </c>
      <c r="B80" s="14">
        <v>3.4</v>
      </c>
      <c r="C80" s="16">
        <v>6.2</v>
      </c>
      <c r="D80" s="16">
        <v>50.6</v>
      </c>
      <c r="E80" s="36">
        <v>2.0499999999999998</v>
      </c>
      <c r="F80" s="14">
        <v>3.4</v>
      </c>
      <c r="G80" s="16">
        <v>6.8</v>
      </c>
      <c r="H80" s="16">
        <v>55.1</v>
      </c>
      <c r="I80" s="16">
        <v>8.4</v>
      </c>
      <c r="J80" s="14">
        <v>3.4</v>
      </c>
      <c r="K80" s="16">
        <v>5.9</v>
      </c>
      <c r="L80" s="16">
        <v>50.4</v>
      </c>
      <c r="M80" s="36">
        <v>6.9</v>
      </c>
    </row>
    <row r="81" spans="1:13" ht="15.75" customHeight="1">
      <c r="A81" s="135">
        <v>79</v>
      </c>
      <c r="B81" s="14">
        <v>3.4</v>
      </c>
      <c r="C81" s="16">
        <v>6.2</v>
      </c>
      <c r="D81" s="16">
        <v>50.7</v>
      </c>
      <c r="E81" s="36">
        <v>2.13</v>
      </c>
      <c r="F81" s="14">
        <v>3.4</v>
      </c>
      <c r="G81" s="16">
        <v>6.5</v>
      </c>
      <c r="H81" s="16">
        <v>55.2</v>
      </c>
      <c r="I81" s="16">
        <v>8.4</v>
      </c>
      <c r="J81" s="14">
        <v>3.4</v>
      </c>
      <c r="K81" s="16">
        <v>6.5</v>
      </c>
      <c r="L81" s="16">
        <v>50.2</v>
      </c>
      <c r="M81" s="36">
        <v>7.1</v>
      </c>
    </row>
    <row r="82" spans="1:13" ht="15.75" customHeight="1">
      <c r="A82" s="135">
        <v>80</v>
      </c>
      <c r="B82" s="14">
        <v>3.4</v>
      </c>
      <c r="C82" s="16">
        <v>6.1</v>
      </c>
      <c r="D82" s="16">
        <v>51.1</v>
      </c>
      <c r="E82" s="36">
        <v>3.66</v>
      </c>
      <c r="F82" s="14">
        <v>3.4</v>
      </c>
      <c r="G82" s="16">
        <v>6.1</v>
      </c>
      <c r="H82" s="16">
        <v>55.1</v>
      </c>
      <c r="I82" s="16">
        <v>8.3000000000000007</v>
      </c>
      <c r="J82" s="14">
        <v>3.4</v>
      </c>
      <c r="K82" s="16">
        <v>6.7</v>
      </c>
      <c r="L82" s="16">
        <v>50.6</v>
      </c>
      <c r="M82" s="36">
        <v>8.1</v>
      </c>
    </row>
    <row r="83" spans="1:13" ht="15.75" customHeight="1">
      <c r="A83" s="135">
        <v>81</v>
      </c>
      <c r="B83" s="14">
        <v>3.4</v>
      </c>
      <c r="C83" s="16">
        <v>5.9</v>
      </c>
      <c r="D83" s="16">
        <v>51.1</v>
      </c>
      <c r="E83" s="36">
        <v>3.91</v>
      </c>
      <c r="F83" s="14">
        <v>3.4</v>
      </c>
      <c r="G83" s="16">
        <v>5.9</v>
      </c>
      <c r="H83" s="16">
        <v>55</v>
      </c>
      <c r="I83" s="16">
        <v>8.6</v>
      </c>
      <c r="J83" s="14">
        <v>3.4</v>
      </c>
      <c r="K83" s="16">
        <v>6.2</v>
      </c>
      <c r="L83" s="16">
        <v>50.7</v>
      </c>
      <c r="M83" s="36">
        <v>8.4</v>
      </c>
    </row>
    <row r="84" spans="1:13" ht="15.75" customHeight="1">
      <c r="A84" s="135">
        <v>82</v>
      </c>
      <c r="B84" s="14">
        <v>3.4</v>
      </c>
      <c r="C84" s="16">
        <v>6.1</v>
      </c>
      <c r="D84" s="16">
        <v>50.9</v>
      </c>
      <c r="E84" s="36">
        <v>4.53</v>
      </c>
      <c r="F84" s="14">
        <v>3.4</v>
      </c>
      <c r="G84" s="16">
        <v>6.8</v>
      </c>
      <c r="H84" s="16">
        <v>54.7</v>
      </c>
      <c r="I84" s="16">
        <v>8.8000000000000007</v>
      </c>
      <c r="J84" s="14">
        <v>3.4</v>
      </c>
      <c r="K84" s="16">
        <v>5.9</v>
      </c>
      <c r="L84" s="16">
        <v>50.6</v>
      </c>
      <c r="M84" s="36">
        <v>8.4</v>
      </c>
    </row>
    <row r="85" spans="1:13" ht="15.75" customHeight="1">
      <c r="A85" s="135">
        <v>83</v>
      </c>
      <c r="B85" s="14">
        <v>3.4</v>
      </c>
      <c r="C85" s="16">
        <v>6.3</v>
      </c>
      <c r="D85" s="16">
        <v>50.7</v>
      </c>
      <c r="E85" s="36">
        <v>3.25</v>
      </c>
      <c r="F85" s="14">
        <v>3.4</v>
      </c>
      <c r="G85" s="16">
        <v>6.3</v>
      </c>
      <c r="H85" s="16">
        <v>54.5</v>
      </c>
      <c r="I85" s="16">
        <v>8.8000000000000007</v>
      </c>
      <c r="J85" s="14">
        <v>3.4</v>
      </c>
      <c r="K85" s="16">
        <v>6.5</v>
      </c>
      <c r="L85" s="16">
        <v>50.6</v>
      </c>
      <c r="M85" s="36">
        <v>8.5</v>
      </c>
    </row>
    <row r="86" spans="1:13" ht="15.75" customHeight="1">
      <c r="A86" s="135">
        <v>84</v>
      </c>
      <c r="B86" s="14">
        <v>3.4</v>
      </c>
      <c r="C86" s="16">
        <v>6.2</v>
      </c>
      <c r="D86" s="16">
        <v>50.3</v>
      </c>
      <c r="E86" s="36">
        <v>2.23</v>
      </c>
      <c r="F86" s="14">
        <v>3.4</v>
      </c>
      <c r="G86" s="16">
        <v>5.9</v>
      </c>
      <c r="H86" s="16">
        <v>54.3</v>
      </c>
      <c r="I86" s="16">
        <v>8.9</v>
      </c>
      <c r="J86" s="14">
        <v>3.4</v>
      </c>
      <c r="K86" s="16">
        <v>6.1</v>
      </c>
      <c r="L86" s="16">
        <v>50.4</v>
      </c>
      <c r="M86" s="36">
        <v>8.5</v>
      </c>
    </row>
    <row r="87" spans="1:13" ht="15.75" customHeight="1">
      <c r="A87" s="135">
        <v>85</v>
      </c>
      <c r="B87" s="14">
        <v>3.4</v>
      </c>
      <c r="C87" s="16">
        <v>6.1</v>
      </c>
      <c r="D87" s="16">
        <v>50.1</v>
      </c>
      <c r="E87" s="36">
        <v>2.27</v>
      </c>
      <c r="F87" s="14">
        <v>3.4</v>
      </c>
      <c r="G87" s="16">
        <v>6.5</v>
      </c>
      <c r="H87" s="16">
        <v>54</v>
      </c>
      <c r="I87" s="16">
        <v>8.9</v>
      </c>
      <c r="J87" s="14">
        <v>3.4</v>
      </c>
      <c r="K87" s="16">
        <v>6</v>
      </c>
      <c r="L87" s="16">
        <v>50.2</v>
      </c>
      <c r="M87" s="36">
        <v>8.4</v>
      </c>
    </row>
    <row r="88" spans="1:13" ht="15.75" customHeight="1">
      <c r="A88" s="135">
        <v>86</v>
      </c>
      <c r="B88" s="14">
        <v>3.4</v>
      </c>
      <c r="C88" s="16">
        <v>5.9</v>
      </c>
      <c r="D88" s="16">
        <v>50.2</v>
      </c>
      <c r="E88" s="36">
        <v>2.02</v>
      </c>
      <c r="F88" s="14">
        <v>3.4</v>
      </c>
      <c r="G88" s="16">
        <v>6.7</v>
      </c>
      <c r="H88" s="16">
        <v>53.8</v>
      </c>
      <c r="I88" s="16">
        <v>8.9</v>
      </c>
      <c r="J88" s="14">
        <v>3.4</v>
      </c>
      <c r="K88" s="16">
        <v>6.2</v>
      </c>
      <c r="L88" s="16">
        <v>50.1</v>
      </c>
      <c r="M88" s="36">
        <v>8.3000000000000007</v>
      </c>
    </row>
    <row r="89" spans="1:13" ht="15.75" customHeight="1">
      <c r="A89" s="135">
        <v>87</v>
      </c>
      <c r="B89" s="14">
        <v>3.4</v>
      </c>
      <c r="C89" s="16">
        <v>6</v>
      </c>
      <c r="D89" s="16">
        <v>50.6</v>
      </c>
      <c r="E89" s="36">
        <v>2.08</v>
      </c>
      <c r="F89" s="14">
        <v>3.4</v>
      </c>
      <c r="G89" s="16">
        <v>6.2</v>
      </c>
      <c r="H89" s="16">
        <v>53.6</v>
      </c>
      <c r="I89" s="16">
        <v>9.3000000000000007</v>
      </c>
      <c r="J89" s="14">
        <v>3.4</v>
      </c>
      <c r="K89" s="16">
        <v>6.8</v>
      </c>
      <c r="L89" s="16">
        <v>50.7</v>
      </c>
      <c r="M89" s="36">
        <v>8.6</v>
      </c>
    </row>
    <row r="90" spans="1:13" ht="15.75" customHeight="1">
      <c r="A90" s="135">
        <v>88</v>
      </c>
      <c r="B90" s="14">
        <v>3.4</v>
      </c>
      <c r="C90" s="16">
        <v>6.3</v>
      </c>
      <c r="D90" s="16">
        <v>51</v>
      </c>
      <c r="E90" s="36">
        <v>2.52</v>
      </c>
      <c r="F90" s="14">
        <v>3.4</v>
      </c>
      <c r="G90" s="16">
        <v>5.8</v>
      </c>
      <c r="H90" s="16">
        <v>53.3</v>
      </c>
      <c r="I90" s="16">
        <v>9.4</v>
      </c>
      <c r="J90" s="14">
        <v>3.4</v>
      </c>
      <c r="K90" s="16">
        <v>6.4</v>
      </c>
      <c r="L90" s="16">
        <v>51</v>
      </c>
      <c r="M90" s="36">
        <v>9.3000000000000007</v>
      </c>
    </row>
    <row r="91" spans="1:13" ht="15.75" customHeight="1">
      <c r="A91" s="135">
        <v>89</v>
      </c>
      <c r="B91" s="14">
        <v>3.4</v>
      </c>
      <c r="C91" s="16">
        <v>6.2</v>
      </c>
      <c r="D91" s="16">
        <v>51.2</v>
      </c>
      <c r="E91" s="36">
        <v>3.94</v>
      </c>
      <c r="F91" s="14">
        <v>3.4</v>
      </c>
      <c r="G91" s="16">
        <v>6.7</v>
      </c>
      <c r="H91" s="16">
        <v>53.2</v>
      </c>
      <c r="I91" s="16">
        <v>9.1999999999999993</v>
      </c>
      <c r="J91" s="14">
        <v>3.4</v>
      </c>
      <c r="K91" s="16">
        <v>6</v>
      </c>
      <c r="L91" s="16">
        <v>50.9</v>
      </c>
      <c r="M91" s="36">
        <v>9.6999999999999993</v>
      </c>
    </row>
    <row r="92" spans="1:13" ht="15.75" customHeight="1">
      <c r="A92" s="135">
        <v>90</v>
      </c>
      <c r="B92" s="14">
        <v>3.4</v>
      </c>
      <c r="C92" s="16">
        <v>6.1</v>
      </c>
      <c r="D92" s="16">
        <v>51</v>
      </c>
      <c r="E92" s="36">
        <v>4.6399999999999997</v>
      </c>
      <c r="F92" s="14">
        <v>3.4</v>
      </c>
      <c r="G92" s="16">
        <v>6.5</v>
      </c>
      <c r="H92" s="16">
        <v>53.1</v>
      </c>
      <c r="I92" s="16">
        <v>9</v>
      </c>
      <c r="J92" s="14">
        <v>3.4</v>
      </c>
      <c r="K92" s="16">
        <v>6.2</v>
      </c>
      <c r="L92" s="16">
        <v>50.9</v>
      </c>
      <c r="M92" s="36">
        <v>9.8000000000000007</v>
      </c>
    </row>
    <row r="93" spans="1:13" ht="15.75" customHeight="1">
      <c r="A93" s="135">
        <v>91</v>
      </c>
      <c r="B93" s="14">
        <v>3.4</v>
      </c>
      <c r="C93" s="16">
        <v>5.9</v>
      </c>
      <c r="D93" s="16">
        <v>50.5</v>
      </c>
      <c r="E93" s="36">
        <v>2.27</v>
      </c>
      <c r="F93" s="14">
        <v>3.4</v>
      </c>
      <c r="G93" s="16">
        <v>6.1</v>
      </c>
      <c r="H93" s="16">
        <v>52.9</v>
      </c>
      <c r="I93" s="16">
        <v>9.1</v>
      </c>
      <c r="J93" s="14">
        <v>3.4</v>
      </c>
      <c r="K93" s="16">
        <v>6.8</v>
      </c>
      <c r="L93" s="16">
        <v>51</v>
      </c>
      <c r="M93" s="36">
        <v>9.5</v>
      </c>
    </row>
    <row r="94" spans="1:13" ht="15.75" customHeight="1">
      <c r="A94" s="135">
        <v>92</v>
      </c>
      <c r="B94" s="14">
        <v>3.4</v>
      </c>
      <c r="C94" s="16">
        <v>6.3</v>
      </c>
      <c r="D94" s="16">
        <v>50.3</v>
      </c>
      <c r="E94" s="36">
        <v>2.0699999999999998</v>
      </c>
      <c r="F94" s="14">
        <v>3.4</v>
      </c>
      <c r="G94" s="16">
        <v>5.9</v>
      </c>
      <c r="H94" s="16">
        <v>52.7</v>
      </c>
      <c r="I94" s="16">
        <v>8.3000000000000007</v>
      </c>
      <c r="J94" s="14">
        <v>3.4</v>
      </c>
      <c r="K94" s="16">
        <v>6.3</v>
      </c>
      <c r="L94" s="16">
        <v>51.1</v>
      </c>
      <c r="M94" s="36">
        <v>9.4</v>
      </c>
    </row>
    <row r="95" spans="1:13" ht="15.75" customHeight="1">
      <c r="A95" s="135">
        <v>93</v>
      </c>
      <c r="B95" s="14">
        <v>3.4</v>
      </c>
      <c r="C95" s="16">
        <v>6.3</v>
      </c>
      <c r="D95" s="16">
        <v>50.3</v>
      </c>
      <c r="E95" s="36">
        <v>2.09</v>
      </c>
      <c r="F95" s="14">
        <v>3.4</v>
      </c>
      <c r="G95" s="16">
        <v>6.9</v>
      </c>
      <c r="H95" s="16">
        <v>52.9</v>
      </c>
      <c r="I95" s="16">
        <v>8.1</v>
      </c>
      <c r="J95" s="14">
        <v>3.4</v>
      </c>
      <c r="K95" s="16">
        <v>5.9</v>
      </c>
      <c r="L95" s="16">
        <v>51.2</v>
      </c>
      <c r="M95" s="36">
        <v>9.3000000000000007</v>
      </c>
    </row>
    <row r="96" spans="1:13" ht="15.75" customHeight="1">
      <c r="A96" s="135">
        <v>94</v>
      </c>
      <c r="B96" s="14">
        <v>3.4</v>
      </c>
      <c r="C96" s="16">
        <v>6.2</v>
      </c>
      <c r="D96" s="16">
        <v>50.5</v>
      </c>
      <c r="E96" s="36">
        <v>1.91</v>
      </c>
      <c r="F96" s="14">
        <v>3.4</v>
      </c>
      <c r="G96" s="16">
        <v>6.4</v>
      </c>
      <c r="H96" s="16">
        <v>52.9</v>
      </c>
      <c r="I96" s="16">
        <v>8.6</v>
      </c>
      <c r="J96" s="14">
        <v>3.4</v>
      </c>
      <c r="K96" s="16">
        <v>6.4</v>
      </c>
      <c r="L96" s="16">
        <v>51.3</v>
      </c>
      <c r="M96" s="36">
        <v>9.1999999999999993</v>
      </c>
    </row>
    <row r="97" spans="1:13" ht="15.75" customHeight="1">
      <c r="A97" s="135">
        <v>95</v>
      </c>
      <c r="B97" s="14">
        <v>3.4</v>
      </c>
      <c r="C97" s="16">
        <v>6.1</v>
      </c>
      <c r="D97" s="16">
        <v>51</v>
      </c>
      <c r="E97" s="36">
        <v>2.0699999999999998</v>
      </c>
      <c r="F97" s="14">
        <v>3.4</v>
      </c>
      <c r="G97" s="16">
        <v>6</v>
      </c>
      <c r="H97" s="16">
        <v>53</v>
      </c>
      <c r="I97" s="16">
        <v>7.9</v>
      </c>
      <c r="J97" s="14">
        <v>3.4</v>
      </c>
      <c r="K97" s="16">
        <v>6.8</v>
      </c>
      <c r="L97" s="16">
        <v>51</v>
      </c>
      <c r="M97" s="36">
        <v>9.3000000000000007</v>
      </c>
    </row>
    <row r="98" spans="1:13" ht="15.75" customHeight="1">
      <c r="A98" s="135">
        <v>96</v>
      </c>
      <c r="B98" s="14">
        <v>3.4</v>
      </c>
      <c r="C98" s="16">
        <v>5.9</v>
      </c>
      <c r="D98" s="16">
        <v>51.2</v>
      </c>
      <c r="E98" s="36">
        <v>3.38</v>
      </c>
      <c r="F98" s="14">
        <v>3.4</v>
      </c>
      <c r="G98" s="16">
        <v>6.1</v>
      </c>
      <c r="H98" s="16">
        <v>53.2</v>
      </c>
      <c r="I98" s="16">
        <v>7.6</v>
      </c>
      <c r="J98" s="14">
        <v>3.4</v>
      </c>
      <c r="K98" s="16">
        <v>6.3</v>
      </c>
      <c r="L98" s="16">
        <v>51</v>
      </c>
      <c r="M98" s="36">
        <v>9.4</v>
      </c>
    </row>
    <row r="99" spans="1:13" ht="15.75" customHeight="1">
      <c r="A99" s="135">
        <v>97</v>
      </c>
      <c r="B99" s="14">
        <v>3.4</v>
      </c>
      <c r="C99" s="16">
        <v>6.3</v>
      </c>
      <c r="D99" s="16">
        <v>51.4</v>
      </c>
      <c r="E99" s="36">
        <v>3.69</v>
      </c>
      <c r="F99" s="14">
        <v>3.4</v>
      </c>
      <c r="G99" s="16">
        <v>6.8</v>
      </c>
      <c r="H99" s="16">
        <v>53.4</v>
      </c>
      <c r="I99" s="16">
        <v>7.7</v>
      </c>
      <c r="J99" s="14">
        <v>3.4</v>
      </c>
      <c r="K99" s="16">
        <v>5.9</v>
      </c>
      <c r="L99" s="16">
        <v>51.2</v>
      </c>
      <c r="M99" s="36">
        <v>9.1</v>
      </c>
    </row>
    <row r="100" spans="1:13" ht="15.75" customHeight="1">
      <c r="A100" s="135">
        <v>98</v>
      </c>
      <c r="B100" s="14">
        <v>3.4</v>
      </c>
      <c r="C100" s="16">
        <v>6.1</v>
      </c>
      <c r="D100" s="16">
        <v>51.2</v>
      </c>
      <c r="E100" s="36">
        <v>3.96</v>
      </c>
      <c r="F100" s="14">
        <v>3.4</v>
      </c>
      <c r="G100" s="16">
        <v>6.3</v>
      </c>
      <c r="H100" s="16">
        <v>53.6</v>
      </c>
      <c r="I100" s="16">
        <v>7.9</v>
      </c>
      <c r="J100" s="14">
        <v>3.4</v>
      </c>
      <c r="K100" s="16">
        <v>6.4</v>
      </c>
      <c r="L100" s="16">
        <v>51.2</v>
      </c>
      <c r="M100" s="36">
        <v>8.8000000000000007</v>
      </c>
    </row>
    <row r="101" spans="1:13" ht="15.75" customHeight="1">
      <c r="A101" s="135">
        <v>99</v>
      </c>
      <c r="B101" s="14">
        <v>3.4</v>
      </c>
      <c r="C101" s="16">
        <v>6.2</v>
      </c>
      <c r="D101" s="16">
        <v>50.9</v>
      </c>
      <c r="E101" s="36">
        <v>3.88</v>
      </c>
      <c r="F101" s="14">
        <v>3.4</v>
      </c>
      <c r="G101" s="16">
        <v>5.9</v>
      </c>
      <c r="H101" s="16">
        <v>53.5</v>
      </c>
      <c r="I101" s="16">
        <v>8.5</v>
      </c>
      <c r="J101" s="14">
        <v>3.4</v>
      </c>
      <c r="K101" s="16">
        <v>6.8</v>
      </c>
      <c r="L101" s="16">
        <v>51.2</v>
      </c>
      <c r="M101" s="36">
        <v>8.6999999999999993</v>
      </c>
    </row>
    <row r="102" spans="1:13" ht="15.75" customHeight="1">
      <c r="A102" s="135">
        <v>100</v>
      </c>
      <c r="B102" s="14">
        <v>3.4</v>
      </c>
      <c r="C102" s="16">
        <v>6.1</v>
      </c>
      <c r="D102" s="16">
        <v>50.5</v>
      </c>
      <c r="E102" s="36">
        <v>2.25</v>
      </c>
      <c r="F102" s="14">
        <v>3.4</v>
      </c>
      <c r="G102" s="16">
        <v>6.4</v>
      </c>
      <c r="H102" s="16">
        <v>53.4</v>
      </c>
      <c r="I102" s="16">
        <v>8.6999999999999993</v>
      </c>
      <c r="J102" s="14">
        <v>3.4</v>
      </c>
      <c r="K102" s="16">
        <v>6.3</v>
      </c>
      <c r="L102" s="16">
        <v>51.2</v>
      </c>
      <c r="M102" s="36">
        <v>8.6999999999999993</v>
      </c>
    </row>
    <row r="103" spans="1:13" ht="15.75" customHeight="1">
      <c r="A103" s="135">
        <v>101</v>
      </c>
      <c r="B103" s="14">
        <v>3.4</v>
      </c>
      <c r="C103" s="16">
        <v>5.9</v>
      </c>
      <c r="D103" s="16">
        <v>50.6</v>
      </c>
      <c r="E103" s="36">
        <v>2.19</v>
      </c>
      <c r="F103" s="14">
        <v>3.4</v>
      </c>
      <c r="G103" s="16">
        <v>6.7</v>
      </c>
      <c r="H103" s="16">
        <v>53.6</v>
      </c>
      <c r="I103" s="16">
        <v>8.5</v>
      </c>
      <c r="J103" s="14">
        <v>3.4</v>
      </c>
      <c r="K103" s="16">
        <v>5.9</v>
      </c>
      <c r="L103" s="16">
        <v>51.3</v>
      </c>
      <c r="M103" s="36">
        <v>8.8000000000000007</v>
      </c>
    </row>
    <row r="104" spans="1:13" ht="15.75" customHeight="1">
      <c r="A104" s="135">
        <v>102</v>
      </c>
      <c r="B104" s="14">
        <v>3.5</v>
      </c>
      <c r="C104" s="16">
        <v>5</v>
      </c>
      <c r="D104" s="16">
        <v>50.7</v>
      </c>
      <c r="E104" s="36">
        <v>1.99</v>
      </c>
      <c r="F104" s="14">
        <v>3.4</v>
      </c>
      <c r="G104" s="16">
        <v>5.9</v>
      </c>
      <c r="H104" s="16">
        <v>54.3</v>
      </c>
      <c r="I104" s="16">
        <v>8.5</v>
      </c>
      <c r="J104" s="14">
        <v>3.4</v>
      </c>
      <c r="K104" s="16">
        <v>6.4</v>
      </c>
      <c r="L104" s="16">
        <v>51.4</v>
      </c>
      <c r="M104" s="36">
        <v>8.8000000000000007</v>
      </c>
    </row>
    <row r="105" spans="1:13" ht="15.75" customHeight="1">
      <c r="A105" s="135">
        <v>103</v>
      </c>
      <c r="B105" s="14">
        <v>3.4</v>
      </c>
      <c r="C105" s="16">
        <v>6.1</v>
      </c>
      <c r="D105" s="16">
        <v>50.9</v>
      </c>
      <c r="E105" s="36">
        <v>2.08</v>
      </c>
      <c r="F105" s="14">
        <v>3.4</v>
      </c>
      <c r="G105" s="16">
        <v>6.3</v>
      </c>
      <c r="H105" s="16">
        <v>54.9</v>
      </c>
      <c r="I105" s="16">
        <v>8.5</v>
      </c>
      <c r="J105" s="14">
        <v>3.4</v>
      </c>
      <c r="K105" s="16">
        <v>6.8</v>
      </c>
      <c r="L105" s="16">
        <v>51.4</v>
      </c>
      <c r="M105" s="36">
        <v>9</v>
      </c>
    </row>
    <row r="106" spans="1:13" ht="15.75" customHeight="1">
      <c r="A106" s="135">
        <v>104</v>
      </c>
      <c r="B106" s="14">
        <v>3.4</v>
      </c>
      <c r="C106" s="16">
        <v>6.2</v>
      </c>
      <c r="D106" s="16">
        <v>51</v>
      </c>
      <c r="E106" s="36">
        <v>2.4300000000000002</v>
      </c>
      <c r="F106" s="14">
        <v>3.4</v>
      </c>
      <c r="G106" s="16">
        <v>6.7</v>
      </c>
      <c r="H106" s="16">
        <v>55.2</v>
      </c>
      <c r="I106" s="16">
        <v>8.8000000000000007</v>
      </c>
      <c r="J106" s="14">
        <v>3.4</v>
      </c>
      <c r="K106" s="16">
        <v>6.3</v>
      </c>
      <c r="L106" s="16">
        <v>51.5</v>
      </c>
      <c r="M106" s="36">
        <v>9</v>
      </c>
    </row>
    <row r="107" spans="1:13" ht="15.75" customHeight="1">
      <c r="A107" s="135">
        <v>105</v>
      </c>
      <c r="B107" s="14">
        <v>3.4</v>
      </c>
      <c r="C107" s="16">
        <v>6.1</v>
      </c>
      <c r="D107" s="16">
        <v>51.2</v>
      </c>
      <c r="E107" s="36">
        <v>3.31</v>
      </c>
      <c r="F107" s="14">
        <v>3.4</v>
      </c>
      <c r="G107" s="16">
        <v>6.3</v>
      </c>
      <c r="H107" s="16">
        <v>55.5</v>
      </c>
      <c r="I107" s="16">
        <v>8.8000000000000007</v>
      </c>
      <c r="J107" s="14">
        <v>3.4</v>
      </c>
      <c r="K107" s="16">
        <v>5.9</v>
      </c>
      <c r="L107" s="16">
        <v>51.7</v>
      </c>
      <c r="M107" s="36">
        <v>9.1</v>
      </c>
    </row>
    <row r="108" spans="1:13" ht="15.75" customHeight="1">
      <c r="A108" s="135">
        <v>106</v>
      </c>
      <c r="B108" s="14">
        <v>3.4</v>
      </c>
      <c r="C108" s="16">
        <v>5.9</v>
      </c>
      <c r="D108" s="16">
        <v>51.4</v>
      </c>
      <c r="E108" s="36">
        <v>3.74</v>
      </c>
      <c r="F108" s="14">
        <v>3.4</v>
      </c>
      <c r="G108" s="16">
        <v>5.9</v>
      </c>
      <c r="H108" s="16">
        <v>55.6</v>
      </c>
      <c r="I108" s="16">
        <v>8.9</v>
      </c>
      <c r="J108" s="14">
        <v>3.4</v>
      </c>
      <c r="K108" s="16">
        <v>6.3</v>
      </c>
      <c r="L108" s="16">
        <v>52.3</v>
      </c>
      <c r="M108" s="36">
        <v>9</v>
      </c>
    </row>
    <row r="109" spans="1:13" ht="15.75" customHeight="1">
      <c r="A109" s="135">
        <v>107</v>
      </c>
      <c r="B109" s="14">
        <v>3.4</v>
      </c>
      <c r="C109" s="16">
        <v>6.1</v>
      </c>
      <c r="D109" s="16">
        <v>51.3</v>
      </c>
      <c r="E109" s="36">
        <v>3.97</v>
      </c>
      <c r="F109" s="14">
        <v>3.4</v>
      </c>
      <c r="G109" s="16">
        <v>6.5</v>
      </c>
      <c r="H109" s="16">
        <v>55.7</v>
      </c>
      <c r="I109" s="16">
        <v>9.1</v>
      </c>
      <c r="J109" s="14">
        <v>3.4</v>
      </c>
      <c r="K109" s="16">
        <v>6.8</v>
      </c>
      <c r="L109" s="16">
        <v>52.7</v>
      </c>
      <c r="M109" s="36">
        <v>9.1</v>
      </c>
    </row>
    <row r="110" spans="1:13" ht="15.75" customHeight="1">
      <c r="A110" s="135">
        <v>108</v>
      </c>
      <c r="B110" s="14">
        <v>3.4</v>
      </c>
      <c r="C110" s="16">
        <v>6.3</v>
      </c>
      <c r="D110" s="16">
        <v>51.3</v>
      </c>
      <c r="E110" s="36">
        <v>4.6100000000000003</v>
      </c>
      <c r="F110" s="14">
        <v>3.4</v>
      </c>
      <c r="G110" s="16">
        <v>6.7</v>
      </c>
      <c r="H110" s="16">
        <v>55.8</v>
      </c>
      <c r="I110" s="16">
        <v>9.1</v>
      </c>
      <c r="J110" s="14">
        <v>3.4</v>
      </c>
      <c r="K110" s="16">
        <v>6.3</v>
      </c>
      <c r="L110" s="16">
        <v>53.2</v>
      </c>
      <c r="M110" s="36">
        <v>9.1</v>
      </c>
    </row>
    <row r="111" spans="1:13" ht="15.75" customHeight="1">
      <c r="A111" s="135">
        <v>109</v>
      </c>
      <c r="B111" s="14">
        <v>3.4</v>
      </c>
      <c r="C111" s="16">
        <v>6.2</v>
      </c>
      <c r="D111" s="16">
        <v>51.2</v>
      </c>
      <c r="E111" s="36">
        <v>4.58</v>
      </c>
      <c r="F111" s="14">
        <v>3.4</v>
      </c>
      <c r="G111" s="16">
        <v>6.2</v>
      </c>
      <c r="H111" s="16">
        <v>55.9</v>
      </c>
      <c r="I111" s="16">
        <v>9.1999999999999993</v>
      </c>
      <c r="J111" s="14">
        <v>3.4</v>
      </c>
      <c r="K111" s="16">
        <v>5.6</v>
      </c>
      <c r="L111" s="16">
        <v>53.8</v>
      </c>
      <c r="M111" s="36">
        <v>9.3000000000000007</v>
      </c>
    </row>
    <row r="112" spans="1:13" ht="15.75" customHeight="1">
      <c r="A112" s="135">
        <v>110</v>
      </c>
      <c r="B112" s="14">
        <v>3.4</v>
      </c>
      <c r="C112" s="16">
        <v>6.1</v>
      </c>
      <c r="D112" s="16">
        <v>51.2</v>
      </c>
      <c r="E112" s="36">
        <v>4.13</v>
      </c>
      <c r="F112" s="14">
        <v>3.4</v>
      </c>
      <c r="G112" s="16">
        <v>5.8</v>
      </c>
      <c r="H112" s="16">
        <v>56</v>
      </c>
      <c r="I112" s="16">
        <v>9.3000000000000007</v>
      </c>
      <c r="J112" s="14">
        <v>3.4</v>
      </c>
      <c r="K112" s="16">
        <v>6.9</v>
      </c>
      <c r="L112" s="16">
        <v>53.4</v>
      </c>
      <c r="M112" s="36">
        <v>8.6999999999999993</v>
      </c>
    </row>
    <row r="113" spans="1:13" ht="15.75" customHeight="1">
      <c r="A113" s="135">
        <v>111</v>
      </c>
      <c r="B113" s="14">
        <v>3.4</v>
      </c>
      <c r="C113" s="16">
        <v>5.9</v>
      </c>
      <c r="D113" s="16">
        <v>51.1</v>
      </c>
      <c r="E113" s="36">
        <v>3.26</v>
      </c>
      <c r="F113" s="14">
        <v>3.4</v>
      </c>
      <c r="G113" s="16">
        <v>6.7</v>
      </c>
      <c r="H113" s="16">
        <v>56</v>
      </c>
      <c r="I113" s="16">
        <v>9.1999999999999993</v>
      </c>
      <c r="J113" s="14">
        <v>3.4</v>
      </c>
      <c r="K113" s="16">
        <v>6.5</v>
      </c>
      <c r="L113" s="16">
        <v>53.5</v>
      </c>
      <c r="M113" s="36">
        <v>8.6</v>
      </c>
    </row>
    <row r="114" spans="1:13" ht="15.75" customHeight="1">
      <c r="A114" s="135">
        <v>112</v>
      </c>
      <c r="B114" s="14">
        <v>3.4</v>
      </c>
      <c r="C114" s="16">
        <v>6.3</v>
      </c>
      <c r="D114" s="16">
        <v>50.9</v>
      </c>
      <c r="E114" s="36">
        <v>2.2599999999999998</v>
      </c>
      <c r="F114" s="14">
        <v>3.4</v>
      </c>
      <c r="G114" s="16">
        <v>6.5</v>
      </c>
      <c r="H114" s="16">
        <v>55.7</v>
      </c>
      <c r="I114" s="16">
        <v>8.5</v>
      </c>
      <c r="J114" s="14">
        <v>3.4</v>
      </c>
      <c r="K114" s="16">
        <v>6.1</v>
      </c>
      <c r="L114" s="16">
        <v>53.5</v>
      </c>
      <c r="M114" s="36">
        <v>8.8000000000000007</v>
      </c>
    </row>
    <row r="115" spans="1:13" ht="15.75" customHeight="1">
      <c r="A115" s="135">
        <v>113</v>
      </c>
      <c r="B115" s="14">
        <v>3.5</v>
      </c>
      <c r="C115" s="16">
        <v>6.2</v>
      </c>
      <c r="D115" s="16">
        <v>48.5</v>
      </c>
      <c r="E115" s="36">
        <v>0.81</v>
      </c>
      <c r="F115" s="14">
        <v>3.4</v>
      </c>
      <c r="G115" s="16">
        <v>6.1</v>
      </c>
      <c r="H115" s="16">
        <v>55.7</v>
      </c>
      <c r="I115" s="16">
        <v>9</v>
      </c>
      <c r="J115" s="14">
        <v>3.4</v>
      </c>
      <c r="K115" s="16">
        <v>5.9</v>
      </c>
      <c r="L115" s="16">
        <v>53</v>
      </c>
      <c r="M115" s="36">
        <v>8.4</v>
      </c>
    </row>
    <row r="116" spans="1:13" ht="15.75" customHeight="1">
      <c r="A116" s="135">
        <v>114</v>
      </c>
      <c r="B116" s="14">
        <v>3.5</v>
      </c>
      <c r="C116" s="16">
        <v>6</v>
      </c>
      <c r="D116" s="16">
        <v>48.6</v>
      </c>
      <c r="E116" s="36">
        <v>2.1</v>
      </c>
      <c r="F116" s="14">
        <v>3.4</v>
      </c>
      <c r="G116" s="16">
        <v>5.9</v>
      </c>
      <c r="H116" s="16">
        <v>55.9</v>
      </c>
      <c r="I116" s="16">
        <v>8.8000000000000007</v>
      </c>
      <c r="J116" s="14">
        <v>3.4</v>
      </c>
      <c r="K116" s="16">
        <v>6.9</v>
      </c>
      <c r="L116" s="16">
        <v>52.4</v>
      </c>
      <c r="M116" s="36">
        <v>6.9</v>
      </c>
    </row>
    <row r="117" spans="1:13" ht="15.75" customHeight="1">
      <c r="A117" s="135">
        <v>115</v>
      </c>
      <c r="B117" s="14">
        <v>3.5</v>
      </c>
      <c r="C117" s="16">
        <v>5.8</v>
      </c>
      <c r="D117" s="16">
        <v>52</v>
      </c>
      <c r="E117" s="36">
        <v>1.97</v>
      </c>
      <c r="F117" s="14">
        <v>3.4</v>
      </c>
      <c r="G117" s="16">
        <v>6.9</v>
      </c>
      <c r="H117" s="16">
        <v>55.6</v>
      </c>
      <c r="I117" s="16">
        <v>8.5</v>
      </c>
      <c r="J117" s="14">
        <v>3.4</v>
      </c>
      <c r="K117" s="16">
        <v>6.5</v>
      </c>
      <c r="L117" s="16">
        <v>52.5</v>
      </c>
      <c r="M117" s="36">
        <v>7</v>
      </c>
    </row>
    <row r="118" spans="1:13" ht="15.75" customHeight="1">
      <c r="A118" s="135">
        <v>116</v>
      </c>
      <c r="B118" s="14">
        <v>3.4</v>
      </c>
      <c r="C118" s="16">
        <v>6.3</v>
      </c>
      <c r="D118" s="16">
        <v>54.3</v>
      </c>
      <c r="E118" s="36">
        <v>2.36</v>
      </c>
      <c r="F118" s="14">
        <v>3.4</v>
      </c>
      <c r="G118" s="16">
        <v>6.4</v>
      </c>
      <c r="H118" s="16">
        <v>55.8</v>
      </c>
      <c r="I118" s="16">
        <v>8.8000000000000007</v>
      </c>
      <c r="J118" s="14">
        <v>3.4</v>
      </c>
      <c r="K118" s="16">
        <v>6.1</v>
      </c>
      <c r="L118" s="16">
        <v>52.5</v>
      </c>
      <c r="M118" s="36">
        <v>7.1</v>
      </c>
    </row>
    <row r="119" spans="1:13" ht="15.75" customHeight="1">
      <c r="A119" s="135">
        <v>117</v>
      </c>
      <c r="B119" s="14">
        <v>3.4</v>
      </c>
      <c r="C119" s="16">
        <v>6.2</v>
      </c>
      <c r="D119" s="16">
        <v>54.3</v>
      </c>
      <c r="E119" s="36">
        <v>3.36</v>
      </c>
      <c r="F119" s="14">
        <v>3.4</v>
      </c>
      <c r="G119" s="16">
        <v>6</v>
      </c>
      <c r="H119" s="16">
        <v>55.8</v>
      </c>
      <c r="I119" s="16">
        <v>9.3000000000000007</v>
      </c>
      <c r="J119" s="14">
        <v>3.4</v>
      </c>
      <c r="K119" s="16">
        <v>5.9</v>
      </c>
      <c r="L119" s="16">
        <v>52.5</v>
      </c>
      <c r="M119" s="36">
        <v>7.2</v>
      </c>
    </row>
    <row r="120" spans="1:13" ht="15.75" customHeight="1">
      <c r="A120" s="135">
        <v>118</v>
      </c>
      <c r="B120" s="14">
        <v>3.4</v>
      </c>
      <c r="C120" s="16">
        <v>6.2</v>
      </c>
      <c r="D120" s="16">
        <v>54</v>
      </c>
      <c r="E120" s="36">
        <v>2.5</v>
      </c>
      <c r="F120" s="14">
        <v>3.4</v>
      </c>
      <c r="G120" s="16">
        <v>6.1</v>
      </c>
      <c r="H120" s="16">
        <v>55.7</v>
      </c>
      <c r="I120" s="16">
        <v>8.8000000000000007</v>
      </c>
      <c r="J120" s="14">
        <v>3.4</v>
      </c>
      <c r="K120" s="16">
        <v>6.9</v>
      </c>
      <c r="L120" s="16">
        <v>52.4</v>
      </c>
      <c r="M120" s="36">
        <v>7.2</v>
      </c>
    </row>
    <row r="121" spans="1:13" ht="15.75" customHeight="1">
      <c r="A121" s="135">
        <v>119</v>
      </c>
      <c r="B121" s="14">
        <v>3.4</v>
      </c>
      <c r="C121" s="16">
        <v>6</v>
      </c>
      <c r="D121" s="16">
        <v>53.2</v>
      </c>
      <c r="E121" s="36">
        <v>2.67</v>
      </c>
      <c r="F121" s="14">
        <v>3.4</v>
      </c>
      <c r="G121" s="16">
        <v>6.8</v>
      </c>
      <c r="H121" s="16">
        <v>55.7</v>
      </c>
      <c r="I121" s="16">
        <v>9.1999999999999993</v>
      </c>
      <c r="J121" s="14">
        <v>3.4</v>
      </c>
      <c r="K121" s="16">
        <v>6.5</v>
      </c>
      <c r="L121" s="16">
        <v>52.3</v>
      </c>
      <c r="M121" s="36">
        <v>7.1</v>
      </c>
    </row>
    <row r="122" spans="1:13" ht="15.75" customHeight="1">
      <c r="A122" s="135">
        <v>120</v>
      </c>
      <c r="B122" s="14">
        <v>3.4</v>
      </c>
      <c r="C122" s="16">
        <v>5.8</v>
      </c>
      <c r="D122" s="16">
        <v>54.1</v>
      </c>
      <c r="E122" s="36">
        <v>4.34</v>
      </c>
      <c r="F122" s="14">
        <v>3.4</v>
      </c>
      <c r="G122" s="16">
        <v>6.3</v>
      </c>
      <c r="H122" s="16">
        <v>55.7</v>
      </c>
      <c r="I122" s="16">
        <v>8.6999999999999993</v>
      </c>
      <c r="J122" s="14">
        <v>3.4</v>
      </c>
      <c r="K122" s="16">
        <v>6.1</v>
      </c>
      <c r="L122" s="16">
        <v>52.1</v>
      </c>
      <c r="M122" s="36">
        <v>7</v>
      </c>
    </row>
    <row r="123" spans="1:13" ht="15.75" customHeight="1">
      <c r="A123" s="135">
        <v>121</v>
      </c>
      <c r="B123" s="14">
        <v>3.4</v>
      </c>
      <c r="C123" s="16">
        <v>6.3</v>
      </c>
      <c r="D123" s="16">
        <v>53.6</v>
      </c>
      <c r="E123" s="36">
        <v>2.73</v>
      </c>
      <c r="F123" s="14">
        <v>3.4</v>
      </c>
      <c r="G123" s="16">
        <v>5.9</v>
      </c>
      <c r="H123" s="16">
        <v>55.7</v>
      </c>
      <c r="I123" s="16">
        <v>8.6</v>
      </c>
      <c r="J123" s="14">
        <v>3.4</v>
      </c>
      <c r="K123" s="16">
        <v>5.9</v>
      </c>
      <c r="L123" s="16">
        <v>51.8</v>
      </c>
      <c r="M123" s="36">
        <v>7.1</v>
      </c>
    </row>
    <row r="124" spans="1:13" ht="15.75" customHeight="1">
      <c r="A124" s="135">
        <v>122</v>
      </c>
      <c r="B124" s="14">
        <v>3.4</v>
      </c>
      <c r="C124" s="16">
        <v>6.3</v>
      </c>
      <c r="D124" s="16">
        <v>53.8</v>
      </c>
      <c r="E124" s="36">
        <v>3.6</v>
      </c>
      <c r="F124" s="14">
        <v>3.4</v>
      </c>
      <c r="G124" s="16">
        <v>6.4</v>
      </c>
      <c r="H124" s="16">
        <v>55.8</v>
      </c>
      <c r="I124" s="16">
        <v>8.6</v>
      </c>
      <c r="J124" s="14">
        <v>3.4</v>
      </c>
      <c r="K124" s="16">
        <v>6.9</v>
      </c>
      <c r="L124" s="16">
        <v>51.5</v>
      </c>
      <c r="M124" s="36">
        <v>7.1</v>
      </c>
    </row>
    <row r="125" spans="1:13" ht="15.75" customHeight="1">
      <c r="A125" s="135">
        <v>123</v>
      </c>
      <c r="B125" s="14">
        <v>3.4</v>
      </c>
      <c r="C125" s="16">
        <v>6.2</v>
      </c>
      <c r="D125" s="16">
        <v>53.6</v>
      </c>
      <c r="E125" s="36">
        <v>2.66</v>
      </c>
      <c r="F125" s="14">
        <v>3.4</v>
      </c>
      <c r="G125" s="16">
        <v>6.7</v>
      </c>
      <c r="H125" s="16">
        <v>56.1</v>
      </c>
      <c r="I125" s="16">
        <v>8.5</v>
      </c>
      <c r="J125" s="14">
        <v>3.4</v>
      </c>
      <c r="K125" s="16">
        <v>6.5</v>
      </c>
      <c r="L125" s="16">
        <v>51.3</v>
      </c>
      <c r="M125" s="36">
        <v>7.2</v>
      </c>
    </row>
    <row r="126" spans="1:13" ht="15.75" customHeight="1">
      <c r="A126" s="135">
        <v>124</v>
      </c>
      <c r="B126" s="14">
        <v>3.4</v>
      </c>
      <c r="C126" s="16">
        <v>6</v>
      </c>
      <c r="D126" s="16">
        <v>53.9</v>
      </c>
      <c r="E126" s="36">
        <v>3.49</v>
      </c>
      <c r="F126" s="14">
        <v>3.4</v>
      </c>
      <c r="G126" s="16">
        <v>6.2</v>
      </c>
      <c r="H126" s="16">
        <v>55.7</v>
      </c>
      <c r="I126" s="16">
        <v>8.4</v>
      </c>
      <c r="J126" s="14">
        <v>3.4</v>
      </c>
      <c r="K126" s="16">
        <v>6.1</v>
      </c>
      <c r="L126" s="16">
        <v>51.1</v>
      </c>
      <c r="M126" s="36">
        <v>7.1</v>
      </c>
    </row>
    <row r="127" spans="1:13" ht="15.75" customHeight="1">
      <c r="A127" s="135">
        <v>125</v>
      </c>
      <c r="B127" s="14">
        <v>3.4</v>
      </c>
      <c r="C127" s="16">
        <v>5.8</v>
      </c>
      <c r="D127" s="16">
        <v>53.5</v>
      </c>
      <c r="E127" s="36">
        <v>2.9</v>
      </c>
      <c r="F127" s="14">
        <v>3.4</v>
      </c>
      <c r="G127" s="16">
        <v>5.8</v>
      </c>
      <c r="H127" s="16">
        <v>55.9</v>
      </c>
      <c r="I127" s="16">
        <v>8.8000000000000007</v>
      </c>
      <c r="J127" s="14">
        <v>3.4</v>
      </c>
      <c r="K127" s="16">
        <v>5.9</v>
      </c>
      <c r="L127" s="16">
        <v>50.8</v>
      </c>
      <c r="M127" s="36">
        <v>7.1</v>
      </c>
    </row>
    <row r="128" spans="1:13" ht="15.75" customHeight="1">
      <c r="A128" s="135">
        <v>126</v>
      </c>
      <c r="B128" s="14">
        <v>3.4</v>
      </c>
      <c r="C128" s="16">
        <v>6.3</v>
      </c>
      <c r="D128" s="16">
        <v>54.1</v>
      </c>
      <c r="E128" s="36">
        <v>2.98</v>
      </c>
      <c r="F128" s="14">
        <v>3.4</v>
      </c>
      <c r="G128" s="16">
        <v>6.7</v>
      </c>
      <c r="H128" s="16">
        <v>56.1</v>
      </c>
      <c r="I128" s="16">
        <v>8.3000000000000007</v>
      </c>
      <c r="J128" s="14">
        <v>3.4</v>
      </c>
      <c r="K128" s="16">
        <v>6.9</v>
      </c>
      <c r="L128" s="16">
        <v>50.4</v>
      </c>
      <c r="M128" s="36">
        <v>7.1</v>
      </c>
    </row>
    <row r="129" spans="1:13" ht="15.75" customHeight="1">
      <c r="A129" s="135">
        <v>127</v>
      </c>
      <c r="B129" s="14">
        <v>3.4</v>
      </c>
      <c r="C129" s="16">
        <v>6.2</v>
      </c>
      <c r="D129" s="16">
        <v>54.1</v>
      </c>
      <c r="E129" s="36">
        <v>3.07</v>
      </c>
      <c r="F129" s="14">
        <v>3.4</v>
      </c>
      <c r="G129" s="16">
        <v>6.5</v>
      </c>
      <c r="H129" s="16">
        <v>55.9</v>
      </c>
      <c r="I129" s="16">
        <v>8.9</v>
      </c>
      <c r="J129" s="14">
        <v>3.4</v>
      </c>
      <c r="K129" s="16">
        <v>6.5</v>
      </c>
      <c r="L129" s="16">
        <v>50.1</v>
      </c>
      <c r="M129" s="36">
        <v>7</v>
      </c>
    </row>
    <row r="130" spans="1:13" ht="15.75" customHeight="1">
      <c r="A130" s="135">
        <v>128</v>
      </c>
      <c r="B130" s="14">
        <v>3.4</v>
      </c>
      <c r="C130" s="16">
        <v>6.2</v>
      </c>
      <c r="D130" s="16">
        <v>54.1</v>
      </c>
      <c r="E130" s="36">
        <v>3.07</v>
      </c>
      <c r="F130" s="14">
        <v>3.4</v>
      </c>
      <c r="G130" s="16">
        <v>5.7</v>
      </c>
      <c r="H130" s="16">
        <v>56.1</v>
      </c>
      <c r="I130" s="16">
        <v>8.8000000000000007</v>
      </c>
      <c r="J130" s="14">
        <v>3.4</v>
      </c>
      <c r="K130" s="16">
        <v>6.1</v>
      </c>
      <c r="L130" s="16">
        <v>49.8</v>
      </c>
      <c r="M130" s="36">
        <v>7</v>
      </c>
    </row>
    <row r="131" spans="1:13" ht="15.75" customHeight="1">
      <c r="A131" s="135">
        <v>129</v>
      </c>
      <c r="B131" s="14">
        <v>3.4</v>
      </c>
      <c r="C131" s="16">
        <v>6.1</v>
      </c>
      <c r="D131" s="16">
        <v>53.9</v>
      </c>
      <c r="E131" s="36">
        <v>3.14</v>
      </c>
      <c r="F131" s="14">
        <v>3.4</v>
      </c>
      <c r="G131" s="16">
        <v>6.7</v>
      </c>
      <c r="H131" s="16">
        <v>55.8</v>
      </c>
      <c r="I131" s="16">
        <v>8.3000000000000007</v>
      </c>
      <c r="J131" s="14">
        <v>3.4</v>
      </c>
      <c r="K131" s="16">
        <v>5.9</v>
      </c>
      <c r="L131" s="16">
        <v>49.6</v>
      </c>
      <c r="M131" s="36">
        <v>7</v>
      </c>
    </row>
    <row r="132" spans="1:13" ht="15.75" customHeight="1">
      <c r="A132" s="135">
        <v>130</v>
      </c>
      <c r="B132" s="14">
        <v>3.4</v>
      </c>
      <c r="C132" s="16">
        <v>5.9</v>
      </c>
      <c r="D132" s="16">
        <v>53.6</v>
      </c>
      <c r="E132" s="36">
        <v>3.23</v>
      </c>
      <c r="F132" s="14">
        <v>3.4</v>
      </c>
      <c r="G132" s="16">
        <v>6.6</v>
      </c>
      <c r="H132" s="16">
        <v>56.2</v>
      </c>
      <c r="I132" s="16">
        <v>8.5</v>
      </c>
      <c r="J132" s="14">
        <v>3.4</v>
      </c>
      <c r="K132" s="16">
        <v>6.9</v>
      </c>
      <c r="L132" s="16">
        <v>49.5</v>
      </c>
      <c r="M132" s="36">
        <v>6.9</v>
      </c>
    </row>
    <row r="133" spans="1:13" ht="15.75" customHeight="1">
      <c r="A133" s="135">
        <v>131</v>
      </c>
      <c r="B133" s="14">
        <v>3.4</v>
      </c>
      <c r="C133" s="16">
        <v>6.3</v>
      </c>
      <c r="D133" s="16">
        <v>53.2</v>
      </c>
      <c r="E133" s="36">
        <v>3.27</v>
      </c>
      <c r="F133" s="14">
        <v>3.4</v>
      </c>
      <c r="G133" s="16">
        <v>6.2</v>
      </c>
      <c r="H133" s="16">
        <v>56.1</v>
      </c>
      <c r="I133" s="16">
        <v>8.6</v>
      </c>
      <c r="J133" s="14">
        <v>3.4</v>
      </c>
      <c r="K133" s="16">
        <v>6.5</v>
      </c>
      <c r="L133" s="16">
        <v>49.5</v>
      </c>
      <c r="M133" s="36">
        <v>6.8</v>
      </c>
    </row>
    <row r="134" spans="1:13" ht="15.75" customHeight="1">
      <c r="A134" s="135">
        <v>132</v>
      </c>
      <c r="B134" s="14">
        <v>3.4</v>
      </c>
      <c r="C134" s="16">
        <v>6.3</v>
      </c>
      <c r="D134" s="16">
        <v>52.5</v>
      </c>
      <c r="E134" s="36">
        <v>3.18</v>
      </c>
      <c r="F134" s="14">
        <v>3.4</v>
      </c>
      <c r="G134" s="16">
        <v>5.8</v>
      </c>
      <c r="H134" s="16">
        <v>56</v>
      </c>
      <c r="I134" s="16">
        <v>8.6</v>
      </c>
      <c r="J134" s="14">
        <v>3.4</v>
      </c>
      <c r="K134" s="16">
        <v>6.1</v>
      </c>
      <c r="L134" s="16">
        <v>50.1</v>
      </c>
      <c r="M134" s="36">
        <v>7.3</v>
      </c>
    </row>
    <row r="135" spans="1:13" ht="15.75" customHeight="1">
      <c r="A135" s="135">
        <v>133</v>
      </c>
      <c r="B135" s="14">
        <v>3.4</v>
      </c>
      <c r="C135" s="16">
        <v>6.2</v>
      </c>
      <c r="D135" s="16">
        <v>51.8</v>
      </c>
      <c r="E135" s="36">
        <v>3.06</v>
      </c>
      <c r="F135" s="14">
        <v>3.4</v>
      </c>
      <c r="G135" s="16">
        <v>6.8</v>
      </c>
      <c r="H135" s="16">
        <v>55.8</v>
      </c>
      <c r="I135" s="16">
        <v>8.9</v>
      </c>
      <c r="J135" s="14">
        <v>3.4</v>
      </c>
      <c r="K135" s="16">
        <v>6</v>
      </c>
      <c r="L135" s="16">
        <v>51</v>
      </c>
      <c r="M135" s="36">
        <v>8.1</v>
      </c>
    </row>
    <row r="136" spans="1:13" ht="15.75" customHeight="1">
      <c r="A136" s="135">
        <v>134</v>
      </c>
      <c r="B136" s="14">
        <v>3.4</v>
      </c>
      <c r="C136" s="16">
        <v>6.1</v>
      </c>
      <c r="D136" s="16">
        <v>51.3</v>
      </c>
      <c r="E136" s="36">
        <v>3.01</v>
      </c>
      <c r="F136" s="14">
        <v>3.4</v>
      </c>
      <c r="G136" s="16">
        <v>6.5</v>
      </c>
      <c r="H136" s="16">
        <v>55.5</v>
      </c>
      <c r="I136" s="16">
        <v>9.1</v>
      </c>
      <c r="J136" s="14">
        <v>3.4</v>
      </c>
      <c r="K136" s="16">
        <v>6.5</v>
      </c>
      <c r="L136" s="16">
        <v>51</v>
      </c>
      <c r="M136" s="36">
        <v>7.7</v>
      </c>
    </row>
    <row r="137" spans="1:13" ht="15.75" customHeight="1">
      <c r="A137" s="135">
        <v>135</v>
      </c>
      <c r="B137" s="14">
        <v>3.4</v>
      </c>
      <c r="C137" s="16">
        <v>5.9</v>
      </c>
      <c r="D137" s="16">
        <v>50.9</v>
      </c>
      <c r="E137" s="36">
        <v>2.97</v>
      </c>
      <c r="F137" s="14">
        <v>3.4</v>
      </c>
      <c r="G137" s="16">
        <v>6.1</v>
      </c>
      <c r="H137" s="16">
        <v>55.2</v>
      </c>
      <c r="I137" s="16">
        <v>9.1</v>
      </c>
      <c r="J137" s="14">
        <v>3.4</v>
      </c>
      <c r="K137" s="16">
        <v>6.2</v>
      </c>
      <c r="L137" s="16">
        <v>51.1</v>
      </c>
      <c r="M137" s="36">
        <v>8.1999999999999993</v>
      </c>
    </row>
    <row r="138" spans="1:13" ht="15.75" customHeight="1">
      <c r="A138" s="135">
        <v>136</v>
      </c>
      <c r="B138" s="14">
        <v>3.4</v>
      </c>
      <c r="C138" s="16">
        <v>6.2</v>
      </c>
      <c r="D138" s="16">
        <v>50.6</v>
      </c>
      <c r="E138" s="36">
        <v>3.04</v>
      </c>
      <c r="F138" s="14">
        <v>3.4</v>
      </c>
      <c r="G138" s="16">
        <v>5.9</v>
      </c>
      <c r="H138" s="16">
        <v>55</v>
      </c>
      <c r="I138" s="16">
        <v>9.3000000000000007</v>
      </c>
      <c r="J138" s="14">
        <v>3.4</v>
      </c>
      <c r="K138" s="16">
        <v>5.9</v>
      </c>
      <c r="L138" s="16">
        <v>51.2</v>
      </c>
      <c r="M138" s="36">
        <v>8.9</v>
      </c>
    </row>
    <row r="139" spans="1:13" ht="15.75" customHeight="1">
      <c r="A139" s="135">
        <v>137</v>
      </c>
      <c r="B139" s="14">
        <v>3.4</v>
      </c>
      <c r="C139" s="16">
        <v>6.3</v>
      </c>
      <c r="D139" s="16">
        <v>50.3</v>
      </c>
      <c r="E139" s="36">
        <v>2.98</v>
      </c>
      <c r="F139" s="14">
        <v>3.4</v>
      </c>
      <c r="G139" s="16">
        <v>6.9</v>
      </c>
      <c r="H139" s="16">
        <v>54.7</v>
      </c>
      <c r="I139" s="16">
        <v>9.5</v>
      </c>
      <c r="J139" s="14">
        <v>3.4</v>
      </c>
      <c r="K139" s="16">
        <v>6.8</v>
      </c>
      <c r="L139" s="16">
        <v>51.2</v>
      </c>
      <c r="M139" s="36">
        <v>8.6</v>
      </c>
    </row>
    <row r="140" spans="1:13" ht="15.75" customHeight="1">
      <c r="A140" s="135">
        <v>138</v>
      </c>
      <c r="B140" s="14">
        <v>3.4</v>
      </c>
      <c r="C140" s="16">
        <v>4.8</v>
      </c>
      <c r="D140" s="16">
        <v>50</v>
      </c>
      <c r="E140" s="36">
        <v>2.89</v>
      </c>
      <c r="F140" s="14">
        <v>3.4</v>
      </c>
      <c r="G140" s="16">
        <v>6.5</v>
      </c>
      <c r="H140" s="16">
        <v>54.4</v>
      </c>
      <c r="I140" s="16">
        <v>9.6</v>
      </c>
      <c r="J140" s="14">
        <v>3.4</v>
      </c>
      <c r="K140" s="16">
        <v>6.6</v>
      </c>
      <c r="L140" s="16">
        <v>51.6</v>
      </c>
      <c r="M140" s="36">
        <v>7.8</v>
      </c>
    </row>
    <row r="141" spans="1:13" ht="15.75" customHeight="1">
      <c r="A141" s="135">
        <v>139</v>
      </c>
      <c r="B141" s="14">
        <v>3.4</v>
      </c>
      <c r="C141" s="16">
        <v>6</v>
      </c>
      <c r="D141" s="16">
        <v>49.7</v>
      </c>
      <c r="E141" s="36">
        <v>2.81</v>
      </c>
      <c r="F141" s="14">
        <v>3.4</v>
      </c>
      <c r="G141" s="16">
        <v>6.1</v>
      </c>
      <c r="H141" s="16">
        <v>54.1</v>
      </c>
      <c r="I141" s="16">
        <v>9.6</v>
      </c>
      <c r="J141" s="14">
        <v>3.4</v>
      </c>
      <c r="K141" s="16">
        <v>6.2</v>
      </c>
      <c r="L141" s="16">
        <v>52.6</v>
      </c>
      <c r="M141" s="36">
        <v>8.1</v>
      </c>
    </row>
    <row r="142" spans="1:13" ht="15.75" customHeight="1">
      <c r="A142" s="135">
        <v>140</v>
      </c>
      <c r="B142" s="14">
        <v>3.4</v>
      </c>
      <c r="C142" s="16">
        <v>6.1</v>
      </c>
      <c r="D142" s="16">
        <v>49.5</v>
      </c>
      <c r="E142" s="36">
        <v>2.9</v>
      </c>
      <c r="F142" s="14">
        <v>3.4</v>
      </c>
      <c r="G142" s="16">
        <v>6</v>
      </c>
      <c r="H142" s="16">
        <v>53.8</v>
      </c>
      <c r="I142" s="16">
        <v>9.8000000000000007</v>
      </c>
      <c r="J142" s="14">
        <v>3.4</v>
      </c>
      <c r="K142" s="16">
        <v>5.9</v>
      </c>
      <c r="L142" s="16">
        <v>53.3</v>
      </c>
      <c r="M142" s="36">
        <v>8.8000000000000007</v>
      </c>
    </row>
    <row r="143" spans="1:13" ht="15.75" customHeight="1">
      <c r="A143" s="135">
        <v>141</v>
      </c>
      <c r="B143" s="14">
        <v>3.4</v>
      </c>
      <c r="C143" s="16">
        <v>6.3</v>
      </c>
      <c r="D143" s="16">
        <v>49</v>
      </c>
      <c r="E143" s="36">
        <v>2.98</v>
      </c>
      <c r="F143" s="14">
        <v>3.4</v>
      </c>
      <c r="G143" s="16">
        <v>6.9</v>
      </c>
      <c r="H143" s="16">
        <v>53.5</v>
      </c>
      <c r="I143" s="16">
        <v>9.9</v>
      </c>
      <c r="J143" s="14">
        <v>3.4</v>
      </c>
      <c r="K143" s="16">
        <v>6.8</v>
      </c>
      <c r="L143" s="16">
        <v>53</v>
      </c>
      <c r="M143" s="36">
        <v>8.9</v>
      </c>
    </row>
    <row r="144" spans="1:13" ht="15.75" customHeight="1">
      <c r="A144" s="135">
        <v>142</v>
      </c>
      <c r="B144" s="14">
        <v>3.4</v>
      </c>
      <c r="C144" s="16">
        <v>6.2</v>
      </c>
      <c r="D144" s="16">
        <v>48.9</v>
      </c>
      <c r="E144" s="36">
        <v>2.97</v>
      </c>
      <c r="F144" s="14">
        <v>3.4</v>
      </c>
      <c r="G144" s="16">
        <v>6.4</v>
      </c>
      <c r="H144" s="16">
        <v>53.2</v>
      </c>
      <c r="I144" s="16">
        <v>9.6</v>
      </c>
      <c r="J144" s="14">
        <v>3.4</v>
      </c>
      <c r="K144" s="16">
        <v>6.6</v>
      </c>
      <c r="L144" s="16">
        <v>52.5</v>
      </c>
      <c r="M144" s="36">
        <v>8.6999999999999993</v>
      </c>
    </row>
    <row r="145" spans="1:13" ht="15.75" customHeight="1">
      <c r="A145" s="135">
        <v>143</v>
      </c>
      <c r="B145" s="14">
        <v>3.4</v>
      </c>
      <c r="C145" s="16">
        <v>6.2</v>
      </c>
      <c r="D145" s="16">
        <v>48.6</v>
      </c>
      <c r="E145" s="36">
        <v>2.81</v>
      </c>
      <c r="F145" s="14">
        <v>3.4</v>
      </c>
      <c r="G145" s="16">
        <v>6</v>
      </c>
      <c r="H145" s="16">
        <v>52.9</v>
      </c>
      <c r="I145" s="16">
        <v>9.3000000000000007</v>
      </c>
      <c r="J145" s="14">
        <v>3.4</v>
      </c>
      <c r="K145" s="16">
        <v>6.2</v>
      </c>
      <c r="L145" s="16">
        <v>52.5</v>
      </c>
      <c r="M145" s="36">
        <v>8.5</v>
      </c>
    </row>
    <row r="146" spans="1:13" ht="15.75" customHeight="1">
      <c r="A146" s="135">
        <v>144</v>
      </c>
      <c r="B146" s="14">
        <v>3.4</v>
      </c>
      <c r="C146" s="16">
        <v>6</v>
      </c>
      <c r="D146" s="16">
        <v>48</v>
      </c>
      <c r="E146" s="36">
        <v>2.75</v>
      </c>
      <c r="F146" s="14">
        <v>3.4</v>
      </c>
      <c r="G146" s="16">
        <v>6.2</v>
      </c>
      <c r="H146" s="16">
        <v>52.7</v>
      </c>
      <c r="I146" s="16">
        <v>9.1</v>
      </c>
      <c r="J146" s="14">
        <v>0.3</v>
      </c>
      <c r="K146" s="16">
        <v>5.8</v>
      </c>
      <c r="L146" s="16">
        <v>52.3</v>
      </c>
      <c r="M146" s="36">
        <v>5.0999999999999996</v>
      </c>
    </row>
    <row r="147" spans="1:13" ht="15.75" customHeight="1">
      <c r="A147" s="135">
        <v>145</v>
      </c>
      <c r="B147" s="14">
        <v>3.4</v>
      </c>
      <c r="C147" s="16">
        <v>5.8</v>
      </c>
      <c r="D147" s="16">
        <v>47.4</v>
      </c>
      <c r="E147" s="36">
        <v>2.67</v>
      </c>
      <c r="F147" s="14">
        <v>3.4</v>
      </c>
      <c r="G147" s="16">
        <v>6.8</v>
      </c>
      <c r="H147" s="16">
        <v>52.5</v>
      </c>
      <c r="I147" s="16">
        <v>8.6999999999999993</v>
      </c>
      <c r="J147" s="14">
        <v>0</v>
      </c>
      <c r="K147" s="16">
        <v>7.1</v>
      </c>
      <c r="L147" s="16">
        <v>51.7</v>
      </c>
      <c r="M147" s="36">
        <v>0.5</v>
      </c>
    </row>
    <row r="148" spans="1:13" ht="15.75" customHeight="1">
      <c r="A148" s="135">
        <v>146</v>
      </c>
      <c r="B148" s="14">
        <v>3.4</v>
      </c>
      <c r="C148" s="16">
        <v>6.3</v>
      </c>
      <c r="D148" s="16">
        <v>46.9</v>
      </c>
      <c r="E148" s="36">
        <v>2.65</v>
      </c>
      <c r="F148" s="14">
        <v>3.4</v>
      </c>
      <c r="G148" s="16">
        <v>6.3</v>
      </c>
      <c r="H148" s="16">
        <v>52.4</v>
      </c>
      <c r="I148" s="16">
        <v>7.9</v>
      </c>
      <c r="J148" s="14">
        <v>1</v>
      </c>
      <c r="K148" s="16">
        <v>6.9</v>
      </c>
      <c r="L148" s="16">
        <v>51.3</v>
      </c>
      <c r="M148" s="36">
        <v>0.5</v>
      </c>
    </row>
    <row r="149" spans="1:13" ht="15.75" customHeight="1">
      <c r="A149" s="135">
        <v>147</v>
      </c>
      <c r="B149" s="14">
        <v>3.4</v>
      </c>
      <c r="C149" s="16">
        <v>6.2</v>
      </c>
      <c r="D149" s="16">
        <v>46.5</v>
      </c>
      <c r="E149" s="36">
        <v>2.64</v>
      </c>
      <c r="F149" s="14">
        <v>3.4</v>
      </c>
      <c r="G149" s="16">
        <v>6</v>
      </c>
      <c r="H149" s="16">
        <v>52.5</v>
      </c>
      <c r="I149" s="16">
        <v>7.6</v>
      </c>
      <c r="J149" s="14">
        <v>3.5</v>
      </c>
      <c r="K149" s="16">
        <v>6.4</v>
      </c>
      <c r="L149" s="16">
        <v>51.5</v>
      </c>
      <c r="M149" s="36">
        <v>5</v>
      </c>
    </row>
    <row r="150" spans="1:13" ht="15.75" customHeight="1">
      <c r="A150" s="135">
        <v>148</v>
      </c>
      <c r="B150" s="14">
        <v>3.4</v>
      </c>
      <c r="C150" s="16">
        <v>6.2</v>
      </c>
      <c r="D150" s="16">
        <v>46.3</v>
      </c>
      <c r="E150" s="36">
        <v>2.66</v>
      </c>
      <c r="F150" s="14">
        <v>3.4</v>
      </c>
      <c r="G150" s="16">
        <v>6.4</v>
      </c>
      <c r="H150" s="16">
        <v>52.5</v>
      </c>
      <c r="I150" s="16">
        <v>7.4</v>
      </c>
      <c r="J150" s="14">
        <v>3.5</v>
      </c>
      <c r="K150" s="16">
        <v>6.1</v>
      </c>
      <c r="L150" s="16">
        <v>54</v>
      </c>
      <c r="M150" s="36">
        <v>10.1</v>
      </c>
    </row>
    <row r="151" spans="1:13" ht="15.75" customHeight="1">
      <c r="A151" s="135">
        <v>149</v>
      </c>
      <c r="B151" s="14">
        <v>3.4</v>
      </c>
      <c r="C151" s="16">
        <v>6</v>
      </c>
      <c r="D151" s="16">
        <v>46.1</v>
      </c>
      <c r="E151" s="36">
        <v>2.64</v>
      </c>
      <c r="F151" s="14">
        <v>3.4</v>
      </c>
      <c r="G151" s="16">
        <v>6.7</v>
      </c>
      <c r="H151" s="16">
        <v>53</v>
      </c>
      <c r="I151" s="16">
        <v>7.4</v>
      </c>
      <c r="J151" s="14">
        <v>3.5</v>
      </c>
      <c r="K151" s="16">
        <v>5.9</v>
      </c>
      <c r="L151" s="16">
        <v>53.7</v>
      </c>
      <c r="M151" s="36">
        <v>9.3000000000000007</v>
      </c>
    </row>
    <row r="152" spans="1:13" ht="15.75" customHeight="1">
      <c r="A152" s="135">
        <v>150</v>
      </c>
      <c r="B152" s="14">
        <v>3.4</v>
      </c>
      <c r="C152" s="16">
        <v>5.8</v>
      </c>
      <c r="D152" s="16">
        <v>46</v>
      </c>
      <c r="E152" s="36">
        <v>2.61</v>
      </c>
      <c r="F152" s="14">
        <v>3.4</v>
      </c>
      <c r="G152" s="16">
        <v>6.3</v>
      </c>
      <c r="H152" s="16">
        <v>53.9</v>
      </c>
      <c r="I152" s="16">
        <v>7.7</v>
      </c>
      <c r="J152" s="14">
        <v>3.4</v>
      </c>
      <c r="K152" s="16">
        <v>6.9</v>
      </c>
      <c r="L152" s="16">
        <v>53.7</v>
      </c>
      <c r="M152" s="36">
        <v>10.1</v>
      </c>
    </row>
    <row r="153" spans="1:13" ht="15.75" customHeight="1">
      <c r="A153" s="135">
        <v>151</v>
      </c>
      <c r="B153" s="14">
        <v>3.4</v>
      </c>
      <c r="C153" s="16">
        <v>6.3</v>
      </c>
      <c r="D153" s="16">
        <v>46</v>
      </c>
      <c r="E153" s="36">
        <v>2.66</v>
      </c>
      <c r="F153" s="14">
        <v>3.4</v>
      </c>
      <c r="G153" s="16">
        <v>5.9</v>
      </c>
      <c r="H153" s="16">
        <v>54.5</v>
      </c>
      <c r="I153" s="16">
        <v>8.3000000000000007</v>
      </c>
      <c r="J153" s="14">
        <v>3.4</v>
      </c>
      <c r="K153" s="16">
        <v>6.5</v>
      </c>
      <c r="L153" s="16">
        <v>53.7</v>
      </c>
      <c r="M153" s="36">
        <v>9.1999999999999993</v>
      </c>
    </row>
    <row r="154" spans="1:13" ht="15.75" customHeight="1">
      <c r="A154" s="135">
        <v>152</v>
      </c>
      <c r="B154" s="14">
        <v>3.4</v>
      </c>
      <c r="C154" s="16">
        <v>6.3</v>
      </c>
      <c r="D154" s="16">
        <v>46</v>
      </c>
      <c r="E154" s="36">
        <v>2.67</v>
      </c>
      <c r="F154" s="14">
        <v>3.4</v>
      </c>
      <c r="G154" s="16">
        <v>6.5</v>
      </c>
      <c r="H154" s="16">
        <v>54.8</v>
      </c>
      <c r="I154" s="16">
        <v>8.4</v>
      </c>
      <c r="J154" s="14">
        <v>3.4</v>
      </c>
      <c r="K154" s="16">
        <v>6.1</v>
      </c>
      <c r="L154" s="16">
        <v>53.7</v>
      </c>
      <c r="M154" s="36">
        <v>9.4</v>
      </c>
    </row>
    <row r="155" spans="1:13" ht="15.75" customHeight="1">
      <c r="A155" s="135">
        <v>153</v>
      </c>
      <c r="B155" s="14">
        <v>3.4</v>
      </c>
      <c r="C155" s="16">
        <v>6.2</v>
      </c>
      <c r="D155" s="16">
        <v>46.1</v>
      </c>
      <c r="E155" s="36">
        <v>2.73</v>
      </c>
      <c r="F155" s="14">
        <v>3.4</v>
      </c>
      <c r="G155" s="16">
        <v>6.2</v>
      </c>
      <c r="H155" s="16">
        <v>55</v>
      </c>
      <c r="I155" s="16">
        <v>8.4</v>
      </c>
      <c r="J155" s="14">
        <v>3.4</v>
      </c>
      <c r="K155" s="16">
        <v>6</v>
      </c>
      <c r="L155" s="16">
        <v>53.9</v>
      </c>
      <c r="M155" s="36">
        <v>10.199999999999999</v>
      </c>
    </row>
    <row r="156" spans="1:13" ht="15.75" customHeight="1">
      <c r="A156" s="135">
        <v>154</v>
      </c>
      <c r="B156" s="14">
        <v>3.4</v>
      </c>
      <c r="C156" s="16">
        <v>6.1</v>
      </c>
      <c r="D156" s="16">
        <v>46.2</v>
      </c>
      <c r="E156" s="36">
        <v>2.67</v>
      </c>
      <c r="F156" s="14">
        <v>3.4</v>
      </c>
      <c r="G156" s="16">
        <v>6</v>
      </c>
      <c r="H156" s="16">
        <v>55.1</v>
      </c>
      <c r="I156" s="16">
        <v>8.6</v>
      </c>
      <c r="J156" s="14">
        <v>3.4</v>
      </c>
      <c r="K156" s="16">
        <v>6.9</v>
      </c>
      <c r="L156" s="16">
        <v>53.9</v>
      </c>
      <c r="M156" s="36">
        <v>9.6</v>
      </c>
    </row>
    <row r="157" spans="1:13" ht="15.75" customHeight="1">
      <c r="A157" s="135">
        <v>155</v>
      </c>
      <c r="B157" s="14">
        <v>3.4</v>
      </c>
      <c r="C157" s="16">
        <v>5.9</v>
      </c>
      <c r="D157" s="16">
        <v>46.4</v>
      </c>
      <c r="E157" s="36">
        <v>2.66</v>
      </c>
      <c r="F157" s="14">
        <v>3.4</v>
      </c>
      <c r="G157" s="16">
        <v>6.3</v>
      </c>
      <c r="H157" s="16">
        <v>55.2</v>
      </c>
      <c r="I157" s="16">
        <v>8.8000000000000007</v>
      </c>
      <c r="J157" s="14">
        <v>3.4</v>
      </c>
      <c r="K157" s="16">
        <v>6.4</v>
      </c>
      <c r="L157" s="16">
        <v>53.7</v>
      </c>
      <c r="M157" s="36">
        <v>8.5</v>
      </c>
    </row>
    <row r="158" spans="1:13" ht="15.75" customHeight="1">
      <c r="A158" s="135">
        <v>156</v>
      </c>
      <c r="B158" s="14">
        <v>3.4</v>
      </c>
      <c r="C158" s="16">
        <v>6.3</v>
      </c>
      <c r="D158" s="16">
        <v>46.5</v>
      </c>
      <c r="E158" s="36">
        <v>2.67</v>
      </c>
      <c r="F158" s="14">
        <v>3.4</v>
      </c>
      <c r="G158" s="16">
        <v>6.8</v>
      </c>
      <c r="H158" s="16">
        <v>55.5</v>
      </c>
      <c r="I158" s="16">
        <v>8.8000000000000007</v>
      </c>
      <c r="J158" s="14">
        <v>3.4</v>
      </c>
      <c r="K158" s="16">
        <v>6</v>
      </c>
      <c r="L158" s="16">
        <v>53.5</v>
      </c>
      <c r="M158" s="36">
        <v>8.4</v>
      </c>
    </row>
    <row r="159" spans="1:13" ht="15.75" customHeight="1">
      <c r="A159" s="135">
        <v>157</v>
      </c>
      <c r="B159" s="14">
        <v>3.4</v>
      </c>
      <c r="C159" s="16">
        <v>6.3</v>
      </c>
      <c r="D159" s="16">
        <v>46.7</v>
      </c>
      <c r="E159" s="36">
        <v>2.67</v>
      </c>
      <c r="F159" s="14">
        <v>3.4</v>
      </c>
      <c r="G159" s="16">
        <v>6.3</v>
      </c>
      <c r="H159" s="16">
        <v>55.7</v>
      </c>
      <c r="I159" s="16">
        <v>8.8000000000000007</v>
      </c>
      <c r="J159" s="14">
        <v>3.4</v>
      </c>
      <c r="K159" s="16">
        <v>6.2</v>
      </c>
      <c r="L159" s="16">
        <v>53.4</v>
      </c>
      <c r="M159" s="36">
        <v>7.8</v>
      </c>
    </row>
    <row r="160" spans="1:13" ht="15.75" customHeight="1">
      <c r="A160" s="135">
        <v>158</v>
      </c>
      <c r="B160" s="14">
        <v>3.4</v>
      </c>
      <c r="C160" s="16">
        <v>6.2</v>
      </c>
      <c r="D160" s="16">
        <v>46.9</v>
      </c>
      <c r="E160" s="36">
        <v>2.72</v>
      </c>
      <c r="F160" s="14">
        <v>3.4</v>
      </c>
      <c r="G160" s="16">
        <v>5.9</v>
      </c>
      <c r="H160" s="16">
        <v>55.8</v>
      </c>
      <c r="I160" s="16">
        <v>8.8000000000000007</v>
      </c>
      <c r="J160" s="14">
        <v>3.4</v>
      </c>
      <c r="K160" s="16">
        <v>6.8</v>
      </c>
      <c r="L160" s="16">
        <v>53.5</v>
      </c>
      <c r="M160" s="36">
        <v>8.5</v>
      </c>
    </row>
    <row r="161" spans="1:13" ht="15.75" customHeight="1">
      <c r="A161" s="135">
        <v>159</v>
      </c>
      <c r="B161" s="14">
        <v>3.4</v>
      </c>
      <c r="C161" s="16">
        <v>6.1</v>
      </c>
      <c r="D161" s="16">
        <v>47.1</v>
      </c>
      <c r="E161" s="36">
        <v>2.79</v>
      </c>
      <c r="F161" s="14">
        <v>3.4</v>
      </c>
      <c r="G161" s="16">
        <v>6.5</v>
      </c>
      <c r="H161" s="16">
        <v>55.9</v>
      </c>
      <c r="I161" s="16">
        <v>8.9</v>
      </c>
      <c r="J161" s="14">
        <v>3.4</v>
      </c>
      <c r="K161" s="16">
        <v>6.4</v>
      </c>
      <c r="L161" s="16">
        <v>53.3</v>
      </c>
      <c r="M161" s="36">
        <v>7.6</v>
      </c>
    </row>
    <row r="162" spans="1:13" ht="15.75" customHeight="1">
      <c r="A162" s="135">
        <v>160</v>
      </c>
      <c r="B162" s="14">
        <v>3.4</v>
      </c>
      <c r="C162" s="16">
        <v>5.9</v>
      </c>
      <c r="D162" s="16">
        <v>47.4</v>
      </c>
      <c r="E162" s="36">
        <v>2.79</v>
      </c>
      <c r="F162" s="14">
        <v>3.4</v>
      </c>
      <c r="G162" s="16">
        <v>6.7</v>
      </c>
      <c r="H162" s="16">
        <v>56.1</v>
      </c>
      <c r="I162" s="16">
        <v>9</v>
      </c>
      <c r="J162" s="14">
        <v>3.4</v>
      </c>
      <c r="K162" s="16">
        <v>6</v>
      </c>
      <c r="L162" s="16">
        <v>53.5</v>
      </c>
      <c r="M162" s="36">
        <v>8.3000000000000007</v>
      </c>
    </row>
    <row r="163" spans="1:13" ht="15.75" customHeight="1">
      <c r="A163" s="135">
        <v>161</v>
      </c>
      <c r="B163" s="14">
        <v>3.4</v>
      </c>
      <c r="C163" s="16">
        <v>6.1</v>
      </c>
      <c r="D163" s="16">
        <v>47.7</v>
      </c>
      <c r="E163" s="36">
        <v>2.83</v>
      </c>
      <c r="F163" s="14">
        <v>3.4</v>
      </c>
      <c r="G163" s="16">
        <v>6.2</v>
      </c>
      <c r="H163" s="16">
        <v>56</v>
      </c>
      <c r="I163" s="16">
        <v>9.4</v>
      </c>
      <c r="J163" s="14">
        <v>3.4</v>
      </c>
      <c r="K163" s="16">
        <v>6.4</v>
      </c>
      <c r="L163" s="16">
        <v>53.3</v>
      </c>
      <c r="M163" s="36">
        <v>7.7</v>
      </c>
    </row>
    <row r="164" spans="1:13" ht="15.75" customHeight="1">
      <c r="A164" s="135">
        <v>162</v>
      </c>
      <c r="B164" s="14">
        <v>3.4</v>
      </c>
      <c r="C164" s="16">
        <v>6.3</v>
      </c>
      <c r="D164" s="16">
        <v>48</v>
      </c>
      <c r="E164" s="36">
        <v>2.83</v>
      </c>
      <c r="F164" s="14">
        <v>3.4</v>
      </c>
      <c r="G164" s="16">
        <v>5.9</v>
      </c>
      <c r="H164" s="16">
        <v>55.8</v>
      </c>
      <c r="I164" s="16">
        <v>8.6</v>
      </c>
      <c r="J164" s="14">
        <v>3.4</v>
      </c>
      <c r="K164" s="16">
        <v>6.8</v>
      </c>
      <c r="L164" s="16">
        <v>53.3</v>
      </c>
      <c r="M164" s="36">
        <v>8.1</v>
      </c>
    </row>
    <row r="165" spans="1:13" ht="15.75" customHeight="1">
      <c r="A165" s="135">
        <v>163</v>
      </c>
      <c r="B165" s="14">
        <v>3.4</v>
      </c>
      <c r="C165" s="16">
        <v>6.2</v>
      </c>
      <c r="D165" s="16">
        <v>48.4</v>
      </c>
      <c r="E165" s="36">
        <v>2.84</v>
      </c>
      <c r="F165" s="14">
        <v>3.4</v>
      </c>
      <c r="G165" s="16">
        <v>6.7</v>
      </c>
      <c r="H165" s="16">
        <v>55.9</v>
      </c>
      <c r="I165" s="16">
        <v>9</v>
      </c>
      <c r="J165" s="14">
        <v>3.4</v>
      </c>
      <c r="K165" s="16">
        <v>6.3</v>
      </c>
      <c r="L165" s="16">
        <v>53.1</v>
      </c>
      <c r="M165" s="36">
        <v>8</v>
      </c>
    </row>
    <row r="166" spans="1:13" ht="15.75" customHeight="1">
      <c r="A166" s="135">
        <v>164</v>
      </c>
      <c r="B166" s="14">
        <v>3.4</v>
      </c>
      <c r="C166" s="16">
        <v>6</v>
      </c>
      <c r="D166" s="16">
        <v>48.8</v>
      </c>
      <c r="E166" s="36">
        <v>2.87</v>
      </c>
      <c r="F166" s="14">
        <v>3.4</v>
      </c>
      <c r="G166" s="16">
        <v>6.6</v>
      </c>
      <c r="H166" s="16">
        <v>55.9</v>
      </c>
      <c r="I166" s="16">
        <v>8.5</v>
      </c>
      <c r="J166" s="14">
        <v>3.4</v>
      </c>
      <c r="K166" s="16">
        <v>5.9</v>
      </c>
      <c r="L166" s="16">
        <v>53.1</v>
      </c>
      <c r="M166" s="36">
        <v>8.1999999999999993</v>
      </c>
    </row>
    <row r="167" spans="1:13" ht="15.75" customHeight="1">
      <c r="A167" s="135">
        <v>165</v>
      </c>
      <c r="B167" s="14">
        <v>3.4</v>
      </c>
      <c r="C167" s="16">
        <v>5.9</v>
      </c>
      <c r="D167" s="16">
        <v>49</v>
      </c>
      <c r="E167" s="36">
        <v>2.86</v>
      </c>
      <c r="F167" s="14">
        <v>3.4</v>
      </c>
      <c r="G167" s="16">
        <v>6.2</v>
      </c>
      <c r="H167" s="16">
        <v>56.1</v>
      </c>
      <c r="I167" s="16">
        <v>9.1</v>
      </c>
      <c r="J167" s="14">
        <v>3.4</v>
      </c>
      <c r="K167" s="16">
        <v>6.5</v>
      </c>
      <c r="L167" s="16">
        <v>53</v>
      </c>
      <c r="M167" s="36">
        <v>8.5</v>
      </c>
    </row>
    <row r="168" spans="1:13" ht="15.75" customHeight="1">
      <c r="A168" s="135">
        <v>166</v>
      </c>
      <c r="B168" s="14">
        <v>3.4</v>
      </c>
      <c r="C168" s="16">
        <v>6.3</v>
      </c>
      <c r="D168" s="16">
        <v>48.4</v>
      </c>
      <c r="E168" s="36">
        <v>2.93</v>
      </c>
      <c r="F168" s="14">
        <v>3.4</v>
      </c>
      <c r="G168" s="16">
        <v>5.8</v>
      </c>
      <c r="H168" s="16">
        <v>55.9</v>
      </c>
      <c r="I168" s="16">
        <v>8.9</v>
      </c>
      <c r="J168" s="14">
        <v>3.4</v>
      </c>
      <c r="K168" s="16">
        <v>6.7</v>
      </c>
      <c r="L168" s="16">
        <v>53</v>
      </c>
      <c r="M168" s="36">
        <v>7.6</v>
      </c>
    </row>
    <row r="169" spans="1:13" ht="15.75" customHeight="1">
      <c r="A169" s="135">
        <v>167</v>
      </c>
      <c r="B169" s="14">
        <v>3.4</v>
      </c>
      <c r="C169" s="16">
        <v>6.2</v>
      </c>
      <c r="D169" s="16">
        <v>48.6</v>
      </c>
      <c r="E169" s="36">
        <v>2.86</v>
      </c>
      <c r="F169" s="14">
        <v>3.4</v>
      </c>
      <c r="G169" s="16">
        <v>6.6</v>
      </c>
      <c r="H169" s="16">
        <v>55.9</v>
      </c>
      <c r="I169" s="16">
        <v>8.9</v>
      </c>
      <c r="J169" s="14">
        <v>3.4</v>
      </c>
      <c r="K169" s="16">
        <v>6.3</v>
      </c>
      <c r="L169" s="16">
        <v>53.1</v>
      </c>
      <c r="M169" s="36">
        <v>8.6999999999999993</v>
      </c>
    </row>
    <row r="170" spans="1:13" ht="15.75" customHeight="1">
      <c r="A170" s="135">
        <v>168</v>
      </c>
      <c r="B170" s="14">
        <v>3.4</v>
      </c>
      <c r="C170" s="16">
        <v>6.2</v>
      </c>
      <c r="D170" s="16">
        <v>48.7</v>
      </c>
      <c r="E170" s="36">
        <v>2.89</v>
      </c>
      <c r="F170" s="14">
        <v>3.4</v>
      </c>
      <c r="G170" s="16">
        <v>5.9</v>
      </c>
      <c r="H170" s="16">
        <v>55.6</v>
      </c>
      <c r="I170" s="16">
        <v>8.5</v>
      </c>
      <c r="J170" s="14">
        <v>3.4</v>
      </c>
      <c r="K170" s="16">
        <v>5.9</v>
      </c>
      <c r="L170" s="16">
        <v>52.9</v>
      </c>
      <c r="M170" s="36">
        <v>7.9</v>
      </c>
    </row>
    <row r="171" spans="1:13" ht="15.75" customHeight="1">
      <c r="A171" s="135">
        <v>169</v>
      </c>
      <c r="B171" s="14">
        <v>3.4</v>
      </c>
      <c r="C171" s="16">
        <v>6</v>
      </c>
      <c r="D171" s="16">
        <v>48.9</v>
      </c>
      <c r="E171" s="36">
        <v>2.87</v>
      </c>
      <c r="F171" s="14">
        <v>3.4</v>
      </c>
      <c r="G171" s="16">
        <v>6.9</v>
      </c>
      <c r="H171" s="16">
        <v>55.8</v>
      </c>
      <c r="I171" s="16">
        <v>8.3000000000000007</v>
      </c>
      <c r="J171" s="14">
        <v>3.4</v>
      </c>
      <c r="K171" s="16">
        <v>6.6</v>
      </c>
      <c r="L171" s="16">
        <v>53.1</v>
      </c>
      <c r="M171" s="36">
        <v>8.4</v>
      </c>
    </row>
    <row r="172" spans="1:13" ht="15.75" customHeight="1">
      <c r="A172" s="135">
        <v>170</v>
      </c>
      <c r="B172" s="14">
        <v>3.4</v>
      </c>
      <c r="C172" s="16">
        <v>5.8</v>
      </c>
      <c r="D172" s="16">
        <v>49.3</v>
      </c>
      <c r="E172" s="36">
        <v>2.9</v>
      </c>
      <c r="F172" s="14">
        <v>3.4</v>
      </c>
      <c r="G172" s="16">
        <v>6.5</v>
      </c>
      <c r="H172" s="16">
        <v>56.1</v>
      </c>
      <c r="I172" s="16">
        <v>8.4</v>
      </c>
      <c r="J172" s="14">
        <v>3.4</v>
      </c>
      <c r="K172" s="16">
        <v>6.7</v>
      </c>
      <c r="L172" s="16">
        <v>53.1</v>
      </c>
      <c r="M172" s="36">
        <v>8</v>
      </c>
    </row>
    <row r="173" spans="1:13" ht="15.75" customHeight="1">
      <c r="A173" s="135">
        <v>171</v>
      </c>
      <c r="B173" s="14">
        <v>3.4</v>
      </c>
      <c r="C173" s="16">
        <v>6.3</v>
      </c>
      <c r="D173" s="16">
        <v>49.7</v>
      </c>
      <c r="E173" s="36">
        <v>2.97</v>
      </c>
      <c r="F173" s="14">
        <v>3.4</v>
      </c>
      <c r="G173" s="16">
        <v>6.1</v>
      </c>
      <c r="H173" s="16">
        <v>55.9</v>
      </c>
      <c r="I173" s="16">
        <v>8.1999999999999993</v>
      </c>
      <c r="J173" s="14">
        <v>3.4</v>
      </c>
      <c r="K173" s="16">
        <v>6</v>
      </c>
      <c r="L173" s="16">
        <v>53</v>
      </c>
      <c r="M173" s="36">
        <v>8</v>
      </c>
    </row>
    <row r="174" spans="1:13" ht="15.75" customHeight="1">
      <c r="A174" s="135">
        <v>172</v>
      </c>
      <c r="B174" s="14">
        <v>3.4</v>
      </c>
      <c r="C174" s="16">
        <v>6.2</v>
      </c>
      <c r="D174" s="16">
        <v>49.9</v>
      </c>
      <c r="E174" s="36">
        <v>2.95</v>
      </c>
      <c r="F174" s="14">
        <v>3.4</v>
      </c>
      <c r="G174" s="16">
        <v>6</v>
      </c>
      <c r="H174" s="16">
        <v>55.9</v>
      </c>
      <c r="I174" s="16">
        <v>8.4</v>
      </c>
      <c r="J174" s="14">
        <v>3.4</v>
      </c>
      <c r="K174" s="16">
        <v>6.2</v>
      </c>
      <c r="L174" s="16">
        <v>53.1</v>
      </c>
      <c r="M174" s="36">
        <v>8.6</v>
      </c>
    </row>
    <row r="175" spans="1:13" ht="15.75" customHeight="1">
      <c r="A175" s="135">
        <v>173</v>
      </c>
      <c r="B175" s="14">
        <v>3.4</v>
      </c>
      <c r="C175" s="16">
        <v>6.2</v>
      </c>
      <c r="D175" s="16">
        <v>50.1</v>
      </c>
      <c r="E175" s="36">
        <v>2.92</v>
      </c>
      <c r="F175" s="14">
        <v>3.4</v>
      </c>
      <c r="G175" s="16">
        <v>6.9</v>
      </c>
      <c r="H175" s="16">
        <v>55.9</v>
      </c>
      <c r="I175" s="16">
        <v>8.6</v>
      </c>
      <c r="J175" s="14">
        <v>3.4</v>
      </c>
      <c r="K175" s="16">
        <v>6.8</v>
      </c>
      <c r="L175" s="16">
        <v>53.1</v>
      </c>
      <c r="M175" s="36">
        <v>8.1999999999999993</v>
      </c>
    </row>
    <row r="176" spans="1:13" ht="15.75" customHeight="1">
      <c r="A176" s="135">
        <v>174</v>
      </c>
      <c r="B176" s="14">
        <v>3.4</v>
      </c>
      <c r="C176" s="16">
        <v>6.1</v>
      </c>
      <c r="D176" s="16">
        <v>50.1</v>
      </c>
      <c r="E176" s="36">
        <v>2.86</v>
      </c>
      <c r="F176" s="14">
        <v>3.4</v>
      </c>
      <c r="G176" s="16">
        <v>6.4</v>
      </c>
      <c r="H176" s="16">
        <v>56</v>
      </c>
      <c r="I176" s="16">
        <v>7.8</v>
      </c>
      <c r="J176" s="14">
        <v>3.4</v>
      </c>
      <c r="K176" s="16">
        <v>6.3</v>
      </c>
      <c r="L176" s="16">
        <v>53.2</v>
      </c>
      <c r="M176" s="36">
        <v>8.1</v>
      </c>
    </row>
    <row r="177" spans="1:13" ht="15.75" customHeight="1">
      <c r="A177" s="135">
        <v>175</v>
      </c>
      <c r="B177" s="14">
        <v>3.4</v>
      </c>
      <c r="C177" s="16">
        <v>5.9</v>
      </c>
      <c r="D177" s="16">
        <v>50.1</v>
      </c>
      <c r="E177" s="36">
        <v>2.84</v>
      </c>
      <c r="F177" s="14">
        <v>3.4</v>
      </c>
      <c r="G177" s="16">
        <v>6</v>
      </c>
      <c r="H177" s="16">
        <v>56</v>
      </c>
      <c r="I177" s="16">
        <v>8.6</v>
      </c>
      <c r="J177" s="14">
        <v>3.4</v>
      </c>
      <c r="K177" s="16">
        <v>5.9</v>
      </c>
      <c r="L177" s="16">
        <v>53.3</v>
      </c>
      <c r="M177" s="36">
        <v>8.4</v>
      </c>
    </row>
    <row r="178" spans="1:13" ht="15.75" customHeight="1">
      <c r="A178" s="135">
        <v>176</v>
      </c>
      <c r="B178" s="14">
        <v>3.4</v>
      </c>
      <c r="C178" s="16">
        <v>6.3</v>
      </c>
      <c r="D178" s="16">
        <v>50</v>
      </c>
      <c r="E178" s="36">
        <v>2.73</v>
      </c>
      <c r="F178" s="14">
        <v>3.4</v>
      </c>
      <c r="G178" s="16">
        <v>6.1</v>
      </c>
      <c r="H178" s="16">
        <v>56.2</v>
      </c>
      <c r="I178" s="16">
        <v>8.1999999999999993</v>
      </c>
      <c r="J178" s="14">
        <v>3.4</v>
      </c>
      <c r="K178" s="16">
        <v>6.4</v>
      </c>
      <c r="L178" s="16">
        <v>53.3</v>
      </c>
      <c r="M178" s="36">
        <v>8.3000000000000007</v>
      </c>
    </row>
    <row r="179" spans="1:13" ht="15.75" customHeight="1">
      <c r="A179" s="135">
        <v>177</v>
      </c>
      <c r="B179" s="14">
        <v>3.4</v>
      </c>
      <c r="C179" s="16">
        <v>6.3</v>
      </c>
      <c r="D179" s="16">
        <v>50.2</v>
      </c>
      <c r="E179" s="36">
        <v>2.67</v>
      </c>
      <c r="F179" s="14">
        <v>3.4</v>
      </c>
      <c r="G179" s="16">
        <v>6.8</v>
      </c>
      <c r="H179" s="16">
        <v>56.5</v>
      </c>
      <c r="I179" s="16">
        <v>8.6</v>
      </c>
      <c r="J179" s="14">
        <v>3.4</v>
      </c>
      <c r="K179" s="16">
        <v>6.8</v>
      </c>
      <c r="L179" s="16">
        <v>53.2</v>
      </c>
      <c r="M179" s="36">
        <v>7.9</v>
      </c>
    </row>
    <row r="180" spans="1:13" ht="15.75" customHeight="1">
      <c r="A180" s="135">
        <v>178</v>
      </c>
      <c r="B180" s="14">
        <v>3.4</v>
      </c>
      <c r="C180" s="16">
        <v>6.2</v>
      </c>
      <c r="D180" s="16">
        <v>50.6</v>
      </c>
      <c r="E180" s="36">
        <v>2.72</v>
      </c>
      <c r="F180" s="14">
        <v>3.4</v>
      </c>
      <c r="G180" s="16">
        <v>6</v>
      </c>
      <c r="H180" s="16">
        <v>56.4</v>
      </c>
      <c r="I180" s="16">
        <v>9.1</v>
      </c>
      <c r="J180" s="14">
        <v>3.4</v>
      </c>
      <c r="K180" s="16">
        <v>6.3</v>
      </c>
      <c r="L180" s="16">
        <v>53.3</v>
      </c>
      <c r="M180" s="36">
        <v>8.8000000000000007</v>
      </c>
    </row>
    <row r="181" spans="1:13" ht="15.75" customHeight="1">
      <c r="A181" s="135">
        <v>179</v>
      </c>
      <c r="B181" s="14">
        <v>3.4</v>
      </c>
      <c r="C181" s="16">
        <v>6.1</v>
      </c>
      <c r="D181" s="16">
        <v>51</v>
      </c>
      <c r="E181" s="36">
        <v>2.81</v>
      </c>
      <c r="F181" s="14">
        <v>3.4</v>
      </c>
      <c r="G181" s="16">
        <v>6</v>
      </c>
      <c r="H181" s="16">
        <v>56.2</v>
      </c>
      <c r="I181" s="16">
        <v>9.3000000000000007</v>
      </c>
      <c r="J181" s="14">
        <v>3.4</v>
      </c>
      <c r="K181" s="16">
        <v>5.9</v>
      </c>
      <c r="L181" s="16">
        <v>53.2</v>
      </c>
      <c r="M181" s="36">
        <v>7.7</v>
      </c>
    </row>
    <row r="182" spans="1:13" ht="15.75" customHeight="1">
      <c r="A182" s="135">
        <v>180</v>
      </c>
      <c r="B182" s="14">
        <v>3.4</v>
      </c>
      <c r="C182" s="16">
        <v>5.9</v>
      </c>
      <c r="D182" s="16">
        <v>51.1</v>
      </c>
      <c r="E182" s="36">
        <v>2.79</v>
      </c>
      <c r="F182" s="14">
        <v>3.4</v>
      </c>
      <c r="G182" s="16">
        <v>6.9</v>
      </c>
      <c r="H182" s="16">
        <v>56.1</v>
      </c>
      <c r="I182" s="16">
        <v>9.1999999999999993</v>
      </c>
      <c r="J182" s="14">
        <v>3.4</v>
      </c>
      <c r="K182" s="16">
        <v>6.5</v>
      </c>
      <c r="L182" s="16">
        <v>53.3</v>
      </c>
      <c r="M182" s="36">
        <v>8.1999999999999993</v>
      </c>
    </row>
    <row r="183" spans="1:13" ht="15.75" customHeight="1">
      <c r="A183" s="135">
        <v>181</v>
      </c>
      <c r="B183" s="14">
        <v>3.4</v>
      </c>
      <c r="C183" s="16">
        <v>6.2</v>
      </c>
      <c r="D183" s="16">
        <v>51.2</v>
      </c>
      <c r="E183" s="36">
        <v>2.84</v>
      </c>
      <c r="F183" s="14">
        <v>3.4</v>
      </c>
      <c r="G183" s="16">
        <v>6.4</v>
      </c>
      <c r="H183" s="16">
        <v>55.9</v>
      </c>
      <c r="I183" s="16">
        <v>9.1999999999999993</v>
      </c>
      <c r="J183" s="14">
        <v>3.4</v>
      </c>
      <c r="K183" s="16">
        <v>6.7</v>
      </c>
      <c r="L183" s="16">
        <v>53.3</v>
      </c>
      <c r="M183" s="36">
        <v>8.8000000000000007</v>
      </c>
    </row>
    <row r="184" spans="1:13" ht="15.75" customHeight="1">
      <c r="A184" s="135">
        <v>182</v>
      </c>
      <c r="B184" s="14">
        <v>3.4</v>
      </c>
      <c r="C184" s="16">
        <v>6.3</v>
      </c>
      <c r="D184" s="16">
        <v>51.6</v>
      </c>
      <c r="E184" s="36">
        <v>2.9</v>
      </c>
      <c r="F184" s="14">
        <v>3.4</v>
      </c>
      <c r="G184" s="16">
        <v>6</v>
      </c>
      <c r="H184" s="16">
        <v>55.8</v>
      </c>
      <c r="I184" s="16">
        <v>9.1999999999999993</v>
      </c>
      <c r="J184" s="14">
        <v>3.4</v>
      </c>
      <c r="K184" s="16">
        <v>6.2</v>
      </c>
      <c r="L184" s="16">
        <v>53.1</v>
      </c>
      <c r="M184" s="36">
        <v>7.8</v>
      </c>
    </row>
    <row r="185" spans="1:13" ht="15.75" customHeight="1">
      <c r="A185" s="135">
        <v>183</v>
      </c>
      <c r="B185" s="14">
        <v>3.4</v>
      </c>
      <c r="C185" s="16">
        <v>6.2</v>
      </c>
      <c r="D185" s="16">
        <v>52</v>
      </c>
      <c r="E185" s="36">
        <v>2.89</v>
      </c>
      <c r="F185" s="14">
        <v>3.4</v>
      </c>
      <c r="G185" s="16">
        <v>6.1</v>
      </c>
      <c r="H185" s="16">
        <v>55.6</v>
      </c>
      <c r="I185" s="16">
        <v>9.5</v>
      </c>
      <c r="J185" s="14">
        <v>3.4</v>
      </c>
      <c r="K185" s="16">
        <v>5.9</v>
      </c>
      <c r="L185" s="16">
        <v>53.3</v>
      </c>
      <c r="M185" s="36">
        <v>8.1</v>
      </c>
    </row>
    <row r="186" spans="1:13" ht="15.75" customHeight="1">
      <c r="A186" s="135">
        <v>184</v>
      </c>
      <c r="B186" s="14">
        <v>3.4</v>
      </c>
      <c r="C186" s="16">
        <v>6.1</v>
      </c>
      <c r="D186" s="16">
        <v>52.3</v>
      </c>
      <c r="E186" s="36">
        <v>2.98</v>
      </c>
      <c r="F186" s="14">
        <v>3.4</v>
      </c>
      <c r="G186" s="16">
        <v>6.9</v>
      </c>
      <c r="H186" s="16">
        <v>55.3</v>
      </c>
      <c r="I186" s="16">
        <v>9.8000000000000007</v>
      </c>
      <c r="J186" s="14">
        <v>3.4</v>
      </c>
      <c r="K186" s="16">
        <v>6.7</v>
      </c>
      <c r="L186" s="16">
        <v>53.2</v>
      </c>
      <c r="M186" s="36">
        <v>8.4</v>
      </c>
    </row>
    <row r="187" spans="1:13" ht="15.75" customHeight="1">
      <c r="A187" s="135">
        <v>185</v>
      </c>
      <c r="B187" s="14">
        <v>3.4</v>
      </c>
      <c r="C187" s="16">
        <v>6</v>
      </c>
      <c r="D187" s="16">
        <v>52.6</v>
      </c>
      <c r="E187" s="36">
        <v>3.04</v>
      </c>
      <c r="F187" s="14">
        <v>3.4</v>
      </c>
      <c r="G187" s="16">
        <v>6.4</v>
      </c>
      <c r="H187" s="16">
        <v>55.1</v>
      </c>
      <c r="I187" s="16">
        <v>9.9</v>
      </c>
      <c r="J187" s="14">
        <v>3.4</v>
      </c>
      <c r="K187" s="16">
        <v>6.6</v>
      </c>
      <c r="L187" s="16">
        <v>53.2</v>
      </c>
      <c r="M187" s="36">
        <v>7.7</v>
      </c>
    </row>
    <row r="188" spans="1:13" ht="15.75" customHeight="1">
      <c r="A188" s="135">
        <v>186</v>
      </c>
      <c r="B188" s="14">
        <v>3.4</v>
      </c>
      <c r="C188" s="16">
        <v>5.8</v>
      </c>
      <c r="D188" s="16">
        <v>52.9</v>
      </c>
      <c r="E188" s="36">
        <v>2.98</v>
      </c>
      <c r="F188" s="14">
        <v>3.4</v>
      </c>
      <c r="G188" s="16">
        <v>6</v>
      </c>
      <c r="H188" s="16">
        <v>54.9</v>
      </c>
      <c r="I188" s="16">
        <v>9.9</v>
      </c>
      <c r="J188" s="14">
        <v>3.4</v>
      </c>
      <c r="K188" s="16">
        <v>6.2</v>
      </c>
      <c r="L188" s="16">
        <v>53.4</v>
      </c>
      <c r="M188" s="36">
        <v>8.8000000000000007</v>
      </c>
    </row>
    <row r="189" spans="1:13" ht="15.75" customHeight="1">
      <c r="A189" s="135">
        <v>187</v>
      </c>
      <c r="B189" s="14">
        <v>3.4</v>
      </c>
      <c r="C189" s="16">
        <v>6.3</v>
      </c>
      <c r="D189" s="16">
        <v>53.1</v>
      </c>
      <c r="E189" s="36">
        <v>3</v>
      </c>
      <c r="F189" s="14">
        <v>3.4</v>
      </c>
      <c r="G189" s="16">
        <v>6.2</v>
      </c>
      <c r="H189" s="16">
        <v>54.6</v>
      </c>
      <c r="I189" s="16">
        <v>9.9</v>
      </c>
      <c r="J189" s="14">
        <v>3.4</v>
      </c>
      <c r="K189" s="16">
        <v>5.9</v>
      </c>
      <c r="L189" s="16">
        <v>53.3</v>
      </c>
      <c r="M189" s="36">
        <v>7.9</v>
      </c>
    </row>
    <row r="190" spans="1:13" ht="15.75" customHeight="1">
      <c r="A190" s="135">
        <v>188</v>
      </c>
      <c r="B190" s="14">
        <v>3.4</v>
      </c>
      <c r="C190" s="16">
        <v>6.2</v>
      </c>
      <c r="D190" s="16">
        <v>53.3</v>
      </c>
      <c r="E190" s="36">
        <v>3.06</v>
      </c>
      <c r="F190" s="14">
        <v>3.4</v>
      </c>
      <c r="G190" s="16">
        <v>6.8</v>
      </c>
      <c r="H190" s="16">
        <v>54.3</v>
      </c>
      <c r="I190" s="16">
        <v>9.8000000000000007</v>
      </c>
      <c r="J190" s="14">
        <v>3.4</v>
      </c>
      <c r="K190" s="16">
        <v>6.8</v>
      </c>
      <c r="L190" s="16">
        <v>53.5</v>
      </c>
      <c r="M190" s="36">
        <v>9.1</v>
      </c>
    </row>
    <row r="191" spans="1:13" ht="15.75" customHeight="1">
      <c r="A191" s="135">
        <v>189</v>
      </c>
      <c r="B191" s="14">
        <v>3.4</v>
      </c>
      <c r="C191" s="16">
        <v>6</v>
      </c>
      <c r="D191" s="16">
        <v>53.5</v>
      </c>
      <c r="E191" s="36">
        <v>3.04</v>
      </c>
      <c r="F191" s="14">
        <v>3.4</v>
      </c>
      <c r="G191" s="16">
        <v>6.3</v>
      </c>
      <c r="H191" s="16">
        <v>54</v>
      </c>
      <c r="I191" s="16">
        <v>9.8000000000000007</v>
      </c>
      <c r="J191" s="14">
        <v>3.4</v>
      </c>
      <c r="K191" s="16">
        <v>6.6</v>
      </c>
      <c r="L191" s="16">
        <v>53.4</v>
      </c>
      <c r="M191" s="36">
        <v>7.7</v>
      </c>
    </row>
    <row r="192" spans="1:13" ht="15.75" customHeight="1">
      <c r="A192" s="135">
        <v>190</v>
      </c>
      <c r="B192" s="14">
        <v>3.4</v>
      </c>
      <c r="C192" s="16">
        <v>5.8</v>
      </c>
      <c r="D192" s="16">
        <v>53.6</v>
      </c>
      <c r="E192" s="36">
        <v>3.09</v>
      </c>
      <c r="F192" s="14">
        <v>3.4</v>
      </c>
      <c r="G192" s="16">
        <v>6</v>
      </c>
      <c r="H192" s="16">
        <v>53.8</v>
      </c>
      <c r="I192" s="16">
        <v>9.4</v>
      </c>
      <c r="J192" s="14">
        <v>3.4</v>
      </c>
      <c r="K192" s="16">
        <v>6.2</v>
      </c>
      <c r="L192" s="16">
        <v>53.5</v>
      </c>
      <c r="M192" s="36">
        <v>8.9</v>
      </c>
    </row>
    <row r="193" spans="1:13" ht="15.75" customHeight="1">
      <c r="A193" s="135">
        <v>191</v>
      </c>
      <c r="B193" s="14">
        <v>3.4</v>
      </c>
      <c r="C193" s="16">
        <v>6.3</v>
      </c>
      <c r="D193" s="16">
        <v>53.7</v>
      </c>
      <c r="E193" s="36">
        <v>3.12</v>
      </c>
      <c r="F193" s="14">
        <v>3.4</v>
      </c>
      <c r="G193" s="16">
        <v>6.4</v>
      </c>
      <c r="H193" s="16">
        <v>53.5</v>
      </c>
      <c r="I193" s="16">
        <v>9.1999999999999993</v>
      </c>
      <c r="J193" s="14">
        <v>3.4</v>
      </c>
      <c r="K193" s="16">
        <v>5.9</v>
      </c>
      <c r="L193" s="16">
        <v>53.4</v>
      </c>
      <c r="M193" s="36">
        <v>7.6</v>
      </c>
    </row>
    <row r="194" spans="1:13" ht="15.75" customHeight="1">
      <c r="A194" s="135">
        <v>192</v>
      </c>
      <c r="B194" s="14">
        <v>3.4</v>
      </c>
      <c r="C194" s="16">
        <v>6.2</v>
      </c>
      <c r="D194" s="16">
        <v>53.7</v>
      </c>
      <c r="E194" s="36">
        <v>3.13</v>
      </c>
      <c r="F194" s="14">
        <v>3.4</v>
      </c>
      <c r="G194" s="16">
        <v>6.8</v>
      </c>
      <c r="H194" s="16">
        <v>53.3</v>
      </c>
      <c r="I194" s="16">
        <v>8.8000000000000007</v>
      </c>
      <c r="J194" s="14">
        <v>3.4</v>
      </c>
      <c r="K194" s="16">
        <v>6.9</v>
      </c>
      <c r="L194" s="16">
        <v>53.5</v>
      </c>
      <c r="M194" s="36">
        <v>8.8000000000000007</v>
      </c>
    </row>
    <row r="195" spans="1:13" ht="15.75" customHeight="1">
      <c r="A195" s="135">
        <v>193</v>
      </c>
      <c r="B195" s="14">
        <v>3.4</v>
      </c>
      <c r="C195" s="16">
        <v>6.2</v>
      </c>
      <c r="D195" s="16">
        <v>53.9</v>
      </c>
      <c r="E195" s="36">
        <v>3.06</v>
      </c>
      <c r="F195" s="14">
        <v>3.4</v>
      </c>
      <c r="G195" s="16">
        <v>6.3</v>
      </c>
      <c r="H195" s="16">
        <v>53.4</v>
      </c>
      <c r="I195" s="16">
        <v>8</v>
      </c>
      <c r="J195" s="14">
        <v>3.4</v>
      </c>
      <c r="K195" s="16">
        <v>6.6</v>
      </c>
      <c r="L195" s="16">
        <v>53.4</v>
      </c>
      <c r="M195" s="36">
        <v>7.6</v>
      </c>
    </row>
    <row r="196" spans="1:13" ht="15.75" customHeight="1">
      <c r="A196" s="135">
        <v>194</v>
      </c>
      <c r="B196" s="14">
        <v>3.4</v>
      </c>
      <c r="C196" s="16">
        <v>6</v>
      </c>
      <c r="D196" s="16">
        <v>54</v>
      </c>
      <c r="E196" s="36">
        <v>3.09</v>
      </c>
      <c r="F196" s="14">
        <v>3.4</v>
      </c>
      <c r="G196" s="16">
        <v>5.9</v>
      </c>
      <c r="H196" s="16">
        <v>53.6</v>
      </c>
      <c r="I196" s="16">
        <v>7.8</v>
      </c>
      <c r="J196" s="14">
        <v>3.4</v>
      </c>
      <c r="K196" s="16">
        <v>6.1</v>
      </c>
      <c r="L196" s="16">
        <v>53.5</v>
      </c>
      <c r="M196" s="36">
        <v>8.8000000000000007</v>
      </c>
    </row>
    <row r="197" spans="1:13" ht="15.75" customHeight="1">
      <c r="A197" s="135">
        <v>195</v>
      </c>
      <c r="B197" s="14">
        <v>3.4</v>
      </c>
      <c r="C197" s="16">
        <v>5.8</v>
      </c>
      <c r="D197" s="16">
        <v>54.1</v>
      </c>
      <c r="E197" s="36">
        <v>3.09</v>
      </c>
      <c r="F197" s="14">
        <v>3.4</v>
      </c>
      <c r="G197" s="16">
        <v>6.5</v>
      </c>
      <c r="H197" s="16">
        <v>53.7</v>
      </c>
      <c r="I197" s="16">
        <v>7.8</v>
      </c>
      <c r="J197" s="14">
        <v>3.4</v>
      </c>
      <c r="K197" s="16">
        <v>5.9</v>
      </c>
      <c r="L197" s="16">
        <v>53.5</v>
      </c>
      <c r="M197" s="36">
        <v>8.1</v>
      </c>
    </row>
    <row r="198" spans="1:13" ht="15.75" customHeight="1">
      <c r="A198" s="135">
        <v>196</v>
      </c>
      <c r="B198" s="14">
        <v>3.4</v>
      </c>
      <c r="C198" s="16">
        <v>6.3</v>
      </c>
      <c r="D198" s="16">
        <v>54.3</v>
      </c>
      <c r="E198" s="36">
        <v>3.06</v>
      </c>
      <c r="F198" s="14">
        <v>3.4</v>
      </c>
      <c r="G198" s="16">
        <v>6.7</v>
      </c>
      <c r="H198" s="16">
        <v>54.2</v>
      </c>
      <c r="I198" s="16">
        <v>7.9</v>
      </c>
      <c r="J198" s="14">
        <v>3.4</v>
      </c>
      <c r="K198" s="16">
        <v>6.9</v>
      </c>
      <c r="L198" s="16">
        <v>53.4</v>
      </c>
      <c r="M198" s="36">
        <v>8.1999999999999993</v>
      </c>
    </row>
    <row r="199" spans="1:13" ht="15.75" customHeight="1">
      <c r="A199" s="135">
        <v>197</v>
      </c>
      <c r="B199" s="14">
        <v>3.4</v>
      </c>
      <c r="C199" s="16">
        <v>6.2</v>
      </c>
      <c r="D199" s="16">
        <v>54.4</v>
      </c>
      <c r="E199" s="36">
        <v>3.09</v>
      </c>
      <c r="F199" s="14">
        <v>3.4</v>
      </c>
      <c r="G199" s="16">
        <v>6.3</v>
      </c>
      <c r="H199" s="16">
        <v>55.1</v>
      </c>
      <c r="I199" s="16">
        <v>7.9</v>
      </c>
      <c r="J199" s="14">
        <v>3.4</v>
      </c>
      <c r="K199" s="16">
        <v>6</v>
      </c>
      <c r="L199" s="16">
        <v>53.5</v>
      </c>
      <c r="M199" s="36">
        <v>9</v>
      </c>
    </row>
    <row r="200" spans="1:13" ht="15.75" customHeight="1">
      <c r="A200" s="135">
        <v>198</v>
      </c>
      <c r="B200" s="14">
        <v>3.4</v>
      </c>
      <c r="C200" s="16">
        <v>6.2</v>
      </c>
      <c r="D200" s="16">
        <v>54.6</v>
      </c>
      <c r="E200" s="36">
        <v>3.1</v>
      </c>
      <c r="F200" s="14">
        <v>3.4</v>
      </c>
      <c r="G200" s="16">
        <v>5.9</v>
      </c>
      <c r="H200" s="16">
        <v>55.7</v>
      </c>
      <c r="I200" s="16">
        <v>8.5</v>
      </c>
      <c r="J200" s="14">
        <v>3.4</v>
      </c>
      <c r="K200" s="16">
        <v>5.9</v>
      </c>
      <c r="L200" s="16">
        <v>53.4</v>
      </c>
      <c r="M200" s="36">
        <v>8.3000000000000007</v>
      </c>
    </row>
    <row r="201" spans="1:13" ht="15.75" customHeight="1">
      <c r="A201" s="135">
        <v>199</v>
      </c>
      <c r="B201" s="14">
        <v>3.4</v>
      </c>
      <c r="C201" s="16">
        <v>6.1</v>
      </c>
      <c r="D201" s="16">
        <v>54.8</v>
      </c>
      <c r="E201" s="36">
        <v>3.07</v>
      </c>
      <c r="F201" s="14">
        <v>3.4</v>
      </c>
      <c r="G201" s="16">
        <v>6.6</v>
      </c>
      <c r="H201" s="16">
        <v>56.1</v>
      </c>
      <c r="I201" s="16">
        <v>8.6999999999999993</v>
      </c>
      <c r="J201" s="14">
        <v>3.4</v>
      </c>
      <c r="K201" s="16">
        <v>6.8</v>
      </c>
      <c r="L201" s="16">
        <v>53.6</v>
      </c>
      <c r="M201" s="36">
        <v>8.9</v>
      </c>
    </row>
    <row r="202" spans="1:13" ht="15.75" customHeight="1">
      <c r="A202" s="135">
        <v>200</v>
      </c>
      <c r="B202" s="14">
        <v>3.4</v>
      </c>
      <c r="C202" s="16">
        <v>5.9</v>
      </c>
      <c r="D202" s="16">
        <v>54</v>
      </c>
      <c r="E202" s="36">
        <v>3.06</v>
      </c>
      <c r="F202" s="14">
        <v>3.4</v>
      </c>
      <c r="G202" s="16">
        <v>6.6</v>
      </c>
      <c r="H202" s="16">
        <v>56</v>
      </c>
      <c r="I202" s="16">
        <v>9.1999999999999993</v>
      </c>
      <c r="J202" s="14">
        <v>3.4</v>
      </c>
      <c r="K202" s="16">
        <v>6.6</v>
      </c>
      <c r="L202" s="16">
        <v>53.5</v>
      </c>
      <c r="M202" s="36">
        <v>7.9</v>
      </c>
    </row>
    <row r="203" spans="1:13" ht="15.75" customHeight="1">
      <c r="A203" s="135">
        <v>201</v>
      </c>
      <c r="B203" s="14">
        <v>3.4</v>
      </c>
      <c r="C203" s="16">
        <v>6.3</v>
      </c>
      <c r="D203" s="16">
        <v>54.7</v>
      </c>
      <c r="E203" s="36">
        <v>3.03</v>
      </c>
      <c r="F203" s="14">
        <v>3.4</v>
      </c>
      <c r="G203" s="16">
        <v>6.2</v>
      </c>
      <c r="H203" s="16">
        <v>56.1</v>
      </c>
      <c r="I203" s="16">
        <v>8.9</v>
      </c>
      <c r="J203" s="14">
        <v>3.4</v>
      </c>
      <c r="K203" s="16">
        <v>6.2</v>
      </c>
      <c r="L203" s="16">
        <v>53.5</v>
      </c>
      <c r="M203" s="36">
        <v>8.6999999999999993</v>
      </c>
    </row>
    <row r="204" spans="1:13" ht="15.75" customHeight="1">
      <c r="A204" s="135">
        <v>202</v>
      </c>
      <c r="B204" s="14">
        <v>3.4</v>
      </c>
      <c r="C204" s="16">
        <v>6.3</v>
      </c>
      <c r="D204" s="16">
        <v>54.3</v>
      </c>
      <c r="E204" s="36">
        <v>3.3</v>
      </c>
      <c r="F204" s="14">
        <v>3.4</v>
      </c>
      <c r="G204" s="16">
        <v>5.9</v>
      </c>
      <c r="H204" s="16">
        <v>56</v>
      </c>
      <c r="I204" s="16">
        <v>9</v>
      </c>
      <c r="J204" s="14">
        <v>3.4</v>
      </c>
      <c r="K204" s="16">
        <v>5.9</v>
      </c>
      <c r="L204" s="16">
        <v>53.5</v>
      </c>
      <c r="M204" s="36">
        <v>8</v>
      </c>
    </row>
    <row r="205" spans="1:13" ht="15.75" customHeight="1">
      <c r="A205" s="135">
        <v>203</v>
      </c>
      <c r="B205" s="14">
        <v>3.4</v>
      </c>
      <c r="C205" s="16">
        <v>6.2</v>
      </c>
      <c r="D205" s="16">
        <v>54.4</v>
      </c>
      <c r="E205" s="36">
        <v>2.98</v>
      </c>
      <c r="F205" s="14">
        <v>3.4</v>
      </c>
      <c r="G205" s="16">
        <v>6.6</v>
      </c>
      <c r="H205" s="16">
        <v>56.3</v>
      </c>
      <c r="I205" s="16">
        <v>8.8000000000000007</v>
      </c>
      <c r="J205" s="14">
        <v>3.4</v>
      </c>
      <c r="K205" s="16">
        <v>6.8</v>
      </c>
      <c r="L205" s="16">
        <v>53.4</v>
      </c>
      <c r="M205" s="36">
        <v>9</v>
      </c>
    </row>
    <row r="206" spans="1:13" ht="15.75" customHeight="1">
      <c r="A206" s="135">
        <v>204</v>
      </c>
      <c r="B206" s="14">
        <v>3.4</v>
      </c>
      <c r="C206" s="16">
        <v>6.1</v>
      </c>
      <c r="D206" s="16">
        <v>54.9</v>
      </c>
      <c r="E206" s="36">
        <v>3.04</v>
      </c>
      <c r="F206" s="14">
        <v>3.4</v>
      </c>
      <c r="G206" s="16">
        <v>6.1</v>
      </c>
      <c r="H206" s="16">
        <v>55.9</v>
      </c>
      <c r="I206" s="16">
        <v>8.6999999999999993</v>
      </c>
      <c r="J206" s="14">
        <v>3.4</v>
      </c>
      <c r="K206" s="16">
        <v>6.6</v>
      </c>
      <c r="L206" s="16">
        <v>53.5</v>
      </c>
      <c r="M206" s="36">
        <v>8.4</v>
      </c>
    </row>
    <row r="207" spans="1:13" ht="15.75" customHeight="1">
      <c r="A207" s="135">
        <v>205</v>
      </c>
      <c r="B207" s="14">
        <v>3.4</v>
      </c>
      <c r="C207" s="16">
        <v>5.9</v>
      </c>
      <c r="D207" s="16">
        <v>54.4</v>
      </c>
      <c r="E207" s="36">
        <v>2.98</v>
      </c>
      <c r="F207" s="14">
        <v>3.4</v>
      </c>
      <c r="G207" s="16">
        <v>5.9</v>
      </c>
      <c r="H207" s="16">
        <v>56.3</v>
      </c>
      <c r="I207" s="16">
        <v>9.1999999999999993</v>
      </c>
      <c r="J207" s="14">
        <v>3.4</v>
      </c>
      <c r="K207" s="16">
        <v>6.2</v>
      </c>
      <c r="L207" s="16">
        <v>53.5</v>
      </c>
      <c r="M207" s="36">
        <v>8.6999999999999993</v>
      </c>
    </row>
    <row r="208" spans="1:13" ht="15.75" customHeight="1">
      <c r="A208" s="135">
        <v>206</v>
      </c>
      <c r="B208" s="14">
        <v>3.4</v>
      </c>
      <c r="C208" s="16">
        <v>6.2</v>
      </c>
      <c r="D208" s="16">
        <v>54.5</v>
      </c>
      <c r="E208" s="36">
        <v>2.9</v>
      </c>
      <c r="F208" s="14">
        <v>3.4</v>
      </c>
      <c r="G208" s="16">
        <v>6.6</v>
      </c>
      <c r="H208" s="16">
        <v>56.1</v>
      </c>
      <c r="I208" s="16">
        <v>8.6999999999999993</v>
      </c>
      <c r="J208" s="14">
        <v>3.4</v>
      </c>
      <c r="K208" s="16">
        <v>5.9</v>
      </c>
      <c r="L208" s="16">
        <v>53.5</v>
      </c>
      <c r="M208" s="36">
        <v>8.1999999999999993</v>
      </c>
    </row>
    <row r="209" spans="1:13" ht="15.75" customHeight="1">
      <c r="A209" s="135">
        <v>207</v>
      </c>
      <c r="B209" s="14">
        <v>3.4</v>
      </c>
      <c r="C209" s="16">
        <v>6.3</v>
      </c>
      <c r="D209" s="16">
        <v>54.9</v>
      </c>
      <c r="E209" s="36">
        <v>2.95</v>
      </c>
      <c r="F209" s="14">
        <v>3.4</v>
      </c>
      <c r="G209" s="16">
        <v>6.6</v>
      </c>
      <c r="H209" s="16">
        <v>56</v>
      </c>
      <c r="I209" s="16">
        <v>9.1</v>
      </c>
      <c r="J209" s="14">
        <v>3.4</v>
      </c>
      <c r="K209" s="16">
        <v>6.9</v>
      </c>
      <c r="L209" s="16">
        <v>53.5</v>
      </c>
      <c r="M209" s="36">
        <v>8.3000000000000007</v>
      </c>
    </row>
    <row r="210" spans="1:13" ht="15.75" customHeight="1">
      <c r="A210" s="135">
        <v>208</v>
      </c>
      <c r="B210" s="14">
        <v>3.4</v>
      </c>
      <c r="C210" s="16">
        <v>6.2</v>
      </c>
      <c r="D210" s="16">
        <v>54</v>
      </c>
      <c r="E210" s="36">
        <v>2.78</v>
      </c>
      <c r="F210" s="14">
        <v>3.4</v>
      </c>
      <c r="G210" s="16">
        <v>6.2</v>
      </c>
      <c r="H210" s="16">
        <v>56.1</v>
      </c>
      <c r="I210" s="16">
        <v>8.6999999999999993</v>
      </c>
      <c r="J210" s="14">
        <v>3.4</v>
      </c>
      <c r="K210" s="16">
        <v>6.5</v>
      </c>
      <c r="L210" s="16">
        <v>53.6</v>
      </c>
      <c r="M210" s="36">
        <v>8.3000000000000007</v>
      </c>
    </row>
    <row r="211" spans="1:13" ht="15.75" customHeight="1">
      <c r="A211" s="135">
        <v>209</v>
      </c>
      <c r="B211" s="14">
        <v>3.4</v>
      </c>
      <c r="C211" s="16">
        <v>6</v>
      </c>
      <c r="D211" s="16">
        <v>54.9</v>
      </c>
      <c r="E211" s="36">
        <v>3.62</v>
      </c>
      <c r="F211" s="14">
        <v>3.4</v>
      </c>
      <c r="G211" s="16">
        <v>5.9</v>
      </c>
      <c r="H211" s="16">
        <v>56.2</v>
      </c>
      <c r="I211" s="16">
        <v>9</v>
      </c>
      <c r="J211" s="14">
        <v>3.4</v>
      </c>
      <c r="K211" s="16">
        <v>6.1</v>
      </c>
      <c r="L211" s="16">
        <v>53.6</v>
      </c>
      <c r="M211" s="36">
        <v>8.1999999999999993</v>
      </c>
    </row>
    <row r="212" spans="1:13" ht="15.75" customHeight="1">
      <c r="A212" s="135">
        <v>210</v>
      </c>
      <c r="B212" s="14">
        <v>3.4</v>
      </c>
      <c r="C212" s="16">
        <v>6</v>
      </c>
      <c r="D212" s="16">
        <v>54.5</v>
      </c>
      <c r="E212" s="36">
        <v>2.87</v>
      </c>
      <c r="F212" s="14">
        <v>3.4</v>
      </c>
      <c r="G212" s="16">
        <v>6.8</v>
      </c>
      <c r="H212" s="16">
        <v>56.2</v>
      </c>
      <c r="I212" s="16">
        <v>9</v>
      </c>
      <c r="J212" s="14">
        <v>3.4</v>
      </c>
      <c r="K212" s="16">
        <v>5.9</v>
      </c>
      <c r="L212" s="16">
        <v>53.7</v>
      </c>
      <c r="M212" s="36">
        <v>8.3000000000000007</v>
      </c>
    </row>
    <row r="213" spans="1:13" ht="15.75" customHeight="1">
      <c r="A213" s="135">
        <v>211</v>
      </c>
      <c r="B213" s="14">
        <v>3.4</v>
      </c>
      <c r="C213" s="16">
        <v>6.1</v>
      </c>
      <c r="D213" s="16">
        <v>53.9</v>
      </c>
      <c r="E213" s="36">
        <v>2.8</v>
      </c>
      <c r="F213" s="14">
        <v>3.4</v>
      </c>
      <c r="G213" s="16">
        <v>6.5</v>
      </c>
      <c r="H213" s="16">
        <v>56.1</v>
      </c>
      <c r="I213" s="16">
        <v>8.8000000000000007</v>
      </c>
      <c r="J213" s="14">
        <v>3.4</v>
      </c>
      <c r="K213" s="16">
        <v>6.9</v>
      </c>
      <c r="L213" s="16">
        <v>53.5</v>
      </c>
      <c r="M213" s="36">
        <v>8.5</v>
      </c>
    </row>
    <row r="214" spans="1:13" ht="15.75" customHeight="1">
      <c r="A214" s="135">
        <v>212</v>
      </c>
      <c r="B214" s="14">
        <v>3.4</v>
      </c>
      <c r="C214" s="16">
        <v>6.3</v>
      </c>
      <c r="D214" s="16">
        <v>54.8</v>
      </c>
      <c r="E214" s="36">
        <v>2.81</v>
      </c>
      <c r="F214" s="14">
        <v>3.4</v>
      </c>
      <c r="G214" s="16">
        <v>6.1</v>
      </c>
      <c r="H214" s="16">
        <v>56.1</v>
      </c>
      <c r="I214" s="16">
        <v>8.1999999999999993</v>
      </c>
      <c r="J214" s="14">
        <v>3.4</v>
      </c>
      <c r="K214" s="16">
        <v>6.5</v>
      </c>
      <c r="L214" s="16">
        <v>53.6</v>
      </c>
      <c r="M214" s="36">
        <v>8.3000000000000007</v>
      </c>
    </row>
    <row r="215" spans="1:13" ht="15.75" customHeight="1">
      <c r="A215" s="135">
        <v>213</v>
      </c>
      <c r="B215" s="14">
        <v>3.4</v>
      </c>
      <c r="C215" s="16">
        <v>6.2</v>
      </c>
      <c r="D215" s="16">
        <v>54.2</v>
      </c>
      <c r="E215" s="36">
        <v>2.8</v>
      </c>
      <c r="F215" s="14">
        <v>3.4</v>
      </c>
      <c r="G215" s="16">
        <v>5.9</v>
      </c>
      <c r="H215" s="16">
        <v>56.1</v>
      </c>
      <c r="I215" s="16">
        <v>8.6999999999999993</v>
      </c>
      <c r="J215" s="14">
        <v>3.4</v>
      </c>
      <c r="K215" s="16">
        <v>6.1</v>
      </c>
      <c r="L215" s="16">
        <v>53.5</v>
      </c>
      <c r="M215" s="36">
        <v>8.3000000000000007</v>
      </c>
    </row>
    <row r="216" spans="1:13" ht="15.75" customHeight="1">
      <c r="A216" s="135">
        <v>214</v>
      </c>
      <c r="B216" s="14">
        <v>3.4</v>
      </c>
      <c r="C216" s="16">
        <v>4.5999999999999996</v>
      </c>
      <c r="D216" s="16">
        <v>55</v>
      </c>
      <c r="E216" s="36">
        <v>3.45</v>
      </c>
      <c r="F216" s="14">
        <v>3.4</v>
      </c>
      <c r="G216" s="16">
        <v>6.9</v>
      </c>
      <c r="H216" s="16">
        <v>56.1</v>
      </c>
      <c r="I216" s="16">
        <v>9.1999999999999993</v>
      </c>
      <c r="J216" s="14">
        <v>3.4</v>
      </c>
      <c r="K216" s="16">
        <v>6.1</v>
      </c>
      <c r="L216" s="16">
        <v>53.7</v>
      </c>
      <c r="M216" s="36">
        <v>7.7</v>
      </c>
    </row>
    <row r="217" spans="1:13" ht="15.75" customHeight="1">
      <c r="A217" s="135">
        <v>215</v>
      </c>
      <c r="B217" s="14">
        <v>3.4</v>
      </c>
      <c r="C217" s="16">
        <v>6</v>
      </c>
      <c r="D217" s="16">
        <v>54.2</v>
      </c>
      <c r="E217" s="36">
        <v>2.84</v>
      </c>
      <c r="F217" s="14">
        <v>3.4</v>
      </c>
      <c r="G217" s="16">
        <v>6.5</v>
      </c>
      <c r="H217" s="16">
        <v>55.8</v>
      </c>
      <c r="I217" s="16">
        <v>8.6999999999999993</v>
      </c>
      <c r="J217" s="14">
        <v>3.4</v>
      </c>
      <c r="K217" s="16">
        <v>6.9</v>
      </c>
      <c r="L217" s="16">
        <v>54.1</v>
      </c>
      <c r="M217" s="36">
        <v>8.6</v>
      </c>
    </row>
    <row r="218" spans="1:13" ht="15.75" customHeight="1">
      <c r="A218" s="135">
        <v>216</v>
      </c>
      <c r="B218" s="14">
        <v>3.4</v>
      </c>
      <c r="C218" s="16">
        <v>6.3</v>
      </c>
      <c r="D218" s="16">
        <v>55</v>
      </c>
      <c r="E218" s="36">
        <v>2.87</v>
      </c>
      <c r="F218" s="14">
        <v>3.4</v>
      </c>
      <c r="G218" s="16">
        <v>6.1</v>
      </c>
      <c r="H218" s="16">
        <v>56</v>
      </c>
      <c r="I218" s="16">
        <v>8.6</v>
      </c>
      <c r="J218" s="14">
        <v>3.4</v>
      </c>
      <c r="K218" s="16">
        <v>6.4</v>
      </c>
      <c r="L218" s="16">
        <v>54.7</v>
      </c>
      <c r="M218" s="36">
        <v>7.6</v>
      </c>
    </row>
    <row r="219" spans="1:13" ht="15.75" customHeight="1">
      <c r="A219" s="135">
        <v>217</v>
      </c>
      <c r="B219" s="14">
        <v>3.4</v>
      </c>
      <c r="C219" s="16">
        <v>6.2</v>
      </c>
      <c r="D219" s="16">
        <v>54</v>
      </c>
      <c r="E219" s="36">
        <v>2.92</v>
      </c>
      <c r="F219" s="14">
        <v>3.4</v>
      </c>
      <c r="G219" s="16">
        <v>6</v>
      </c>
      <c r="H219" s="16">
        <v>56.3</v>
      </c>
      <c r="I219" s="16">
        <v>9</v>
      </c>
      <c r="J219" s="14">
        <v>3.4</v>
      </c>
      <c r="K219" s="16">
        <v>6</v>
      </c>
      <c r="L219" s="16">
        <v>55.2</v>
      </c>
      <c r="M219" s="36">
        <v>8.5</v>
      </c>
    </row>
    <row r="220" spans="1:13" ht="15.75" customHeight="1">
      <c r="A220" s="135">
        <v>218</v>
      </c>
      <c r="B220" s="14">
        <v>3.4</v>
      </c>
      <c r="C220" s="16">
        <v>6.2</v>
      </c>
      <c r="D220" s="16">
        <v>54.4</v>
      </c>
      <c r="E220" s="36">
        <v>2.84</v>
      </c>
      <c r="F220" s="14">
        <v>3.4</v>
      </c>
      <c r="G220" s="16">
        <v>6.9</v>
      </c>
      <c r="H220" s="16">
        <v>55.9</v>
      </c>
      <c r="I220" s="16">
        <v>8.3000000000000007</v>
      </c>
      <c r="J220" s="14">
        <v>3.4</v>
      </c>
      <c r="K220" s="16">
        <v>6.2</v>
      </c>
      <c r="L220" s="16">
        <v>55.2</v>
      </c>
      <c r="M220" s="36">
        <v>7.7</v>
      </c>
    </row>
    <row r="221" spans="1:13" ht="15.75" customHeight="1">
      <c r="A221" s="135">
        <v>219</v>
      </c>
      <c r="B221" s="14">
        <v>3.4</v>
      </c>
      <c r="C221" s="16">
        <v>6</v>
      </c>
      <c r="D221" s="16">
        <v>54.6</v>
      </c>
      <c r="E221" s="36">
        <v>2.89</v>
      </c>
      <c r="F221" s="14">
        <v>3.4</v>
      </c>
      <c r="G221" s="16">
        <v>6.4</v>
      </c>
      <c r="H221" s="16">
        <v>56</v>
      </c>
      <c r="I221" s="16">
        <v>8.6</v>
      </c>
      <c r="J221" s="14">
        <v>3.4</v>
      </c>
      <c r="K221" s="16">
        <v>6.9</v>
      </c>
      <c r="L221" s="16">
        <v>55.4</v>
      </c>
      <c r="M221" s="36">
        <v>7.7</v>
      </c>
    </row>
    <row r="222" spans="1:13" ht="15.75" customHeight="1">
      <c r="A222" s="135">
        <v>220</v>
      </c>
      <c r="B222" s="14">
        <v>3.4</v>
      </c>
      <c r="C222" s="16">
        <v>5.8</v>
      </c>
      <c r="D222" s="16">
        <v>54.6</v>
      </c>
      <c r="E222" s="36">
        <v>2.92</v>
      </c>
      <c r="F222" s="14">
        <v>3.4</v>
      </c>
      <c r="G222" s="16">
        <v>6</v>
      </c>
      <c r="H222" s="16">
        <v>56</v>
      </c>
      <c r="I222" s="16">
        <v>8.4</v>
      </c>
      <c r="J222" s="14">
        <v>3.4</v>
      </c>
      <c r="K222" s="16">
        <v>6.4</v>
      </c>
      <c r="L222" s="16">
        <v>55.4</v>
      </c>
      <c r="M222" s="36">
        <v>8.6</v>
      </c>
    </row>
    <row r="223" spans="1:13" ht="15.75" customHeight="1">
      <c r="A223" s="135">
        <v>221</v>
      </c>
      <c r="B223" s="14">
        <v>3.4</v>
      </c>
      <c r="C223" s="16">
        <v>6.3</v>
      </c>
      <c r="D223" s="16">
        <v>54.5</v>
      </c>
      <c r="E223" s="36">
        <v>2.87</v>
      </c>
      <c r="F223" s="14">
        <v>3.4</v>
      </c>
      <c r="G223" s="16">
        <v>6.2</v>
      </c>
      <c r="H223" s="16">
        <v>56</v>
      </c>
      <c r="I223" s="16">
        <v>8.6999999999999993</v>
      </c>
      <c r="J223" s="14">
        <v>3.4</v>
      </c>
      <c r="K223" s="16">
        <v>6</v>
      </c>
      <c r="L223" s="16">
        <v>55.4</v>
      </c>
      <c r="M223" s="36">
        <v>7.5</v>
      </c>
    </row>
    <row r="224" spans="1:13" ht="15.75" customHeight="1">
      <c r="A224" s="135">
        <v>222</v>
      </c>
      <c r="B224" s="14">
        <v>3.4</v>
      </c>
      <c r="C224" s="16">
        <v>6.2</v>
      </c>
      <c r="D224" s="16">
        <v>54.3</v>
      </c>
      <c r="E224" s="36">
        <v>2.9</v>
      </c>
      <c r="F224" s="14">
        <v>3.4</v>
      </c>
      <c r="G224" s="16">
        <v>6.8</v>
      </c>
      <c r="H224" s="16">
        <v>56</v>
      </c>
      <c r="I224" s="16">
        <v>8.8000000000000007</v>
      </c>
      <c r="J224" s="14">
        <v>3.4</v>
      </c>
      <c r="K224" s="16">
        <v>5.8</v>
      </c>
      <c r="L224" s="16">
        <v>55.5</v>
      </c>
      <c r="M224" s="36">
        <v>8.5</v>
      </c>
    </row>
    <row r="225" spans="1:13" ht="15.75" customHeight="1">
      <c r="A225" s="135">
        <v>223</v>
      </c>
      <c r="B225" s="14">
        <v>3.4</v>
      </c>
      <c r="C225" s="16">
        <v>6.2</v>
      </c>
      <c r="D225" s="16">
        <v>54.2</v>
      </c>
      <c r="E225" s="36">
        <v>2.95</v>
      </c>
      <c r="F225" s="14">
        <v>3.4</v>
      </c>
      <c r="G225" s="16">
        <v>6.3</v>
      </c>
      <c r="H225" s="16">
        <v>56</v>
      </c>
      <c r="I225" s="16">
        <v>8.8000000000000007</v>
      </c>
      <c r="J225" s="14">
        <v>3.4</v>
      </c>
      <c r="K225" s="16">
        <v>6.9</v>
      </c>
      <c r="L225" s="16">
        <v>55.4</v>
      </c>
      <c r="M225" s="36">
        <v>7.8</v>
      </c>
    </row>
    <row r="226" spans="1:13" ht="15.75" customHeight="1">
      <c r="A226" s="135">
        <v>224</v>
      </c>
      <c r="B226" s="14">
        <v>3.4</v>
      </c>
      <c r="C226" s="16">
        <v>6.1</v>
      </c>
      <c r="D226" s="16">
        <v>54.1</v>
      </c>
      <c r="E226" s="36">
        <v>2.86</v>
      </c>
      <c r="F226" s="14">
        <v>3.4</v>
      </c>
      <c r="G226" s="16">
        <v>5.9</v>
      </c>
      <c r="H226" s="16">
        <v>56.2</v>
      </c>
      <c r="I226" s="16">
        <v>8.1</v>
      </c>
      <c r="J226" s="14">
        <v>3.4</v>
      </c>
      <c r="K226" s="16">
        <v>6.4</v>
      </c>
      <c r="L226" s="16">
        <v>55.5</v>
      </c>
      <c r="M226" s="36">
        <v>8.5</v>
      </c>
    </row>
    <row r="227" spans="1:13" ht="15.75" customHeight="1">
      <c r="A227" s="135">
        <v>225</v>
      </c>
      <c r="B227" s="14">
        <v>3.4</v>
      </c>
      <c r="C227" s="16">
        <v>5.9</v>
      </c>
      <c r="D227" s="16">
        <v>54</v>
      </c>
      <c r="E227" s="36">
        <v>2.81</v>
      </c>
      <c r="F227" s="14">
        <v>3.4</v>
      </c>
      <c r="G227" s="16">
        <v>6.4</v>
      </c>
      <c r="H227" s="16">
        <v>56.2</v>
      </c>
      <c r="I227" s="16">
        <v>9.3000000000000007</v>
      </c>
      <c r="J227" s="14">
        <v>3.4</v>
      </c>
      <c r="K227" s="16">
        <v>6</v>
      </c>
      <c r="L227" s="16">
        <v>55.4</v>
      </c>
      <c r="M227" s="36">
        <v>7.6</v>
      </c>
    </row>
    <row r="228" spans="1:13" ht="15.75" customHeight="1">
      <c r="A228" s="135">
        <v>226</v>
      </c>
      <c r="B228" s="14">
        <v>3.4</v>
      </c>
      <c r="C228" s="16">
        <v>6.3</v>
      </c>
      <c r="D228" s="16">
        <v>53.8</v>
      </c>
      <c r="E228" s="36">
        <v>2.81</v>
      </c>
      <c r="F228" s="14">
        <v>1.1000000000000001</v>
      </c>
      <c r="G228" s="16">
        <v>6.7</v>
      </c>
      <c r="H228" s="16">
        <v>56.6</v>
      </c>
      <c r="I228" s="16">
        <v>8</v>
      </c>
      <c r="J228" s="14">
        <v>3.4</v>
      </c>
      <c r="K228" s="16">
        <v>6.3</v>
      </c>
      <c r="L228" s="16">
        <v>55.6</v>
      </c>
      <c r="M228" s="36">
        <v>8.6999999999999993</v>
      </c>
    </row>
    <row r="229" spans="1:13" ht="15.75" customHeight="1">
      <c r="A229" s="135">
        <v>227</v>
      </c>
      <c r="B229" s="14">
        <v>3.4</v>
      </c>
      <c r="C229" s="16">
        <v>6.3</v>
      </c>
      <c r="D229" s="16">
        <v>53.7</v>
      </c>
      <c r="E229" s="36">
        <v>2.79</v>
      </c>
      <c r="F229" s="14">
        <v>0.7</v>
      </c>
      <c r="G229" s="16">
        <v>6.4</v>
      </c>
      <c r="H229" s="16">
        <v>56.4</v>
      </c>
      <c r="I229" s="16">
        <v>0.5</v>
      </c>
      <c r="J229" s="14">
        <v>3.4</v>
      </c>
      <c r="K229" s="16">
        <v>6.8</v>
      </c>
      <c r="L229" s="16">
        <v>55.5</v>
      </c>
      <c r="M229" s="36">
        <v>7.6</v>
      </c>
    </row>
    <row r="230" spans="1:13" ht="15.75" customHeight="1">
      <c r="A230" s="135">
        <v>228</v>
      </c>
      <c r="B230" s="14">
        <v>3.4</v>
      </c>
      <c r="C230" s="16">
        <v>6.2</v>
      </c>
      <c r="D230" s="16">
        <v>53.4</v>
      </c>
      <c r="E230" s="36">
        <v>2.64</v>
      </c>
      <c r="F230" s="14">
        <v>3.5</v>
      </c>
      <c r="G230" s="16">
        <v>6</v>
      </c>
      <c r="H230" s="16">
        <v>56.3</v>
      </c>
      <c r="I230" s="16">
        <v>6.6</v>
      </c>
      <c r="J230" s="136">
        <v>3.4</v>
      </c>
      <c r="K230" s="137">
        <v>6.4</v>
      </c>
      <c r="L230" s="137">
        <v>55.6</v>
      </c>
      <c r="M230" s="138">
        <v>8.6999999999999993</v>
      </c>
    </row>
    <row r="231" spans="1:13" ht="15.75" customHeight="1">
      <c r="A231" s="135">
        <v>229</v>
      </c>
      <c r="B231" s="14">
        <v>3.4</v>
      </c>
      <c r="C231" s="16">
        <v>6.1</v>
      </c>
      <c r="D231" s="16">
        <v>53.1</v>
      </c>
      <c r="E231" s="36">
        <v>2.69</v>
      </c>
      <c r="F231" s="14">
        <v>3.4</v>
      </c>
      <c r="G231" s="16">
        <v>6.2</v>
      </c>
      <c r="H231" s="16">
        <v>56</v>
      </c>
      <c r="I231" s="16">
        <v>8.4</v>
      </c>
      <c r="J231" s="14">
        <v>3.4</v>
      </c>
      <c r="K231" s="16">
        <v>5.9</v>
      </c>
      <c r="L231" s="16">
        <v>55.5</v>
      </c>
      <c r="M231" s="36">
        <v>7.5</v>
      </c>
    </row>
    <row r="232" spans="1:13" ht="15.75" customHeight="1">
      <c r="A232" s="135">
        <v>230</v>
      </c>
      <c r="B232" s="14">
        <v>3.4</v>
      </c>
      <c r="C232" s="16">
        <v>5.8</v>
      </c>
      <c r="D232" s="16">
        <v>52.8</v>
      </c>
      <c r="E232" s="36">
        <v>2.67</v>
      </c>
      <c r="F232" s="14">
        <v>3.4</v>
      </c>
      <c r="G232" s="16">
        <v>6.8</v>
      </c>
      <c r="H232" s="16">
        <v>55.7</v>
      </c>
      <c r="I232" s="16">
        <v>9.6</v>
      </c>
      <c r="J232" s="46">
        <v>0.5</v>
      </c>
      <c r="K232" s="47">
        <v>6.5</v>
      </c>
      <c r="L232" s="47">
        <v>55.4</v>
      </c>
      <c r="M232" s="48">
        <v>5.0999999999999996</v>
      </c>
    </row>
    <row r="233" spans="1:13" ht="15.75" customHeight="1">
      <c r="A233" s="135">
        <v>231</v>
      </c>
      <c r="B233" s="14">
        <v>3.4</v>
      </c>
      <c r="C233" s="16">
        <v>6.3</v>
      </c>
      <c r="D233" s="16">
        <v>52.7</v>
      </c>
      <c r="E233" s="36">
        <v>2.69</v>
      </c>
      <c r="F233" s="14">
        <v>3.4</v>
      </c>
      <c r="G233" s="16">
        <v>6.3</v>
      </c>
      <c r="H233" s="16">
        <v>55.3</v>
      </c>
      <c r="I233" s="16">
        <v>8.1</v>
      </c>
      <c r="J233" s="14"/>
      <c r="K233" s="16"/>
      <c r="L233" s="16"/>
    </row>
    <row r="234" spans="1:13" ht="15.75" customHeight="1">
      <c r="A234" s="135">
        <v>232</v>
      </c>
      <c r="B234" s="14">
        <v>3.4</v>
      </c>
      <c r="C234" s="16">
        <v>6.2</v>
      </c>
      <c r="D234" s="16">
        <v>52.7</v>
      </c>
      <c r="E234" s="36">
        <v>2.78</v>
      </c>
      <c r="F234" s="14">
        <v>3.4</v>
      </c>
      <c r="G234" s="16">
        <v>5.9</v>
      </c>
      <c r="H234" s="16">
        <v>55.1</v>
      </c>
      <c r="I234" s="16">
        <v>9.6999999999999993</v>
      </c>
      <c r="J234" s="14"/>
      <c r="K234" s="16"/>
      <c r="L234" s="16"/>
    </row>
    <row r="235" spans="1:13" ht="15.75" customHeight="1">
      <c r="A235" s="135">
        <v>233</v>
      </c>
      <c r="B235" s="14">
        <v>3.4</v>
      </c>
      <c r="C235" s="16">
        <v>6.2</v>
      </c>
      <c r="D235" s="16">
        <v>52.8</v>
      </c>
      <c r="E235" s="36">
        <v>2.86</v>
      </c>
      <c r="F235" s="14">
        <v>3.4</v>
      </c>
      <c r="G235" s="16">
        <v>6.4</v>
      </c>
      <c r="H235" s="16">
        <v>54.6</v>
      </c>
      <c r="I235" s="16">
        <v>8.6</v>
      </c>
      <c r="J235" s="14"/>
      <c r="K235" s="16"/>
      <c r="L235" s="16"/>
    </row>
    <row r="236" spans="1:13" ht="15.75" customHeight="1">
      <c r="A236" s="135">
        <v>234</v>
      </c>
      <c r="B236" s="14">
        <v>3.4</v>
      </c>
      <c r="C236" s="16">
        <v>6</v>
      </c>
      <c r="D236" s="16">
        <v>52.8</v>
      </c>
      <c r="E236" s="36">
        <v>2.9</v>
      </c>
      <c r="F236" s="14">
        <v>3.4</v>
      </c>
      <c r="G236" s="16">
        <v>6.7</v>
      </c>
      <c r="H236" s="16">
        <v>54.6</v>
      </c>
      <c r="I236" s="16">
        <v>9.6</v>
      </c>
      <c r="J236" s="14"/>
      <c r="K236" s="16"/>
      <c r="L236" s="16"/>
    </row>
    <row r="237" spans="1:13" ht="15.75" customHeight="1">
      <c r="A237" s="135">
        <v>235</v>
      </c>
      <c r="B237" s="14">
        <v>3.4</v>
      </c>
      <c r="C237" s="16">
        <v>6.2</v>
      </c>
      <c r="D237" s="16">
        <v>53.1</v>
      </c>
      <c r="E237" s="36">
        <v>2.92</v>
      </c>
      <c r="F237" s="14">
        <v>3.4</v>
      </c>
      <c r="G237" s="16">
        <v>6.3</v>
      </c>
      <c r="H237" s="16">
        <v>54.4</v>
      </c>
      <c r="I237" s="16">
        <v>8.4</v>
      </c>
      <c r="J237" s="14"/>
      <c r="K237" s="16"/>
      <c r="L237" s="16"/>
    </row>
    <row r="238" spans="1:13" ht="15.75" customHeight="1">
      <c r="A238" s="135">
        <v>236</v>
      </c>
      <c r="B238" s="14">
        <v>3.4</v>
      </c>
      <c r="C238" s="16">
        <v>6.3</v>
      </c>
      <c r="D238" s="16">
        <v>53.2</v>
      </c>
      <c r="E238" s="36">
        <v>2.98</v>
      </c>
      <c r="F238" s="14">
        <v>3.4</v>
      </c>
      <c r="G238" s="16">
        <v>5.9</v>
      </c>
      <c r="H238" s="16">
        <v>54.4</v>
      </c>
      <c r="I238" s="16">
        <v>9.1999999999999993</v>
      </c>
      <c r="J238" s="14"/>
      <c r="K238" s="16"/>
      <c r="L238" s="16"/>
    </row>
    <row r="239" spans="1:13" ht="15.75" customHeight="1">
      <c r="A239" s="135">
        <v>237</v>
      </c>
      <c r="B239" s="14">
        <v>3.4</v>
      </c>
      <c r="C239" s="16">
        <v>6.2</v>
      </c>
      <c r="D239" s="16">
        <v>53.2</v>
      </c>
      <c r="E239" s="36">
        <v>2.9</v>
      </c>
      <c r="F239" s="14">
        <v>3.4</v>
      </c>
      <c r="G239" s="16">
        <v>6.6</v>
      </c>
      <c r="H239" s="16">
        <v>54.2</v>
      </c>
      <c r="I239" s="16">
        <v>8.8000000000000007</v>
      </c>
      <c r="J239" s="14"/>
      <c r="K239" s="16"/>
      <c r="L239" s="16"/>
    </row>
    <row r="240" spans="1:13" ht="15.75" customHeight="1">
      <c r="A240" s="135">
        <v>238</v>
      </c>
      <c r="B240" s="14">
        <v>3.4</v>
      </c>
      <c r="C240" s="16">
        <v>6.1</v>
      </c>
      <c r="D240" s="16">
        <v>53.5</v>
      </c>
      <c r="E240" s="36">
        <v>2.89</v>
      </c>
      <c r="F240" s="14">
        <v>3.4</v>
      </c>
      <c r="G240" s="16">
        <v>6.7</v>
      </c>
      <c r="H240" s="16">
        <v>54.3</v>
      </c>
      <c r="I240" s="16">
        <v>9</v>
      </c>
      <c r="J240" s="14"/>
      <c r="K240" s="16"/>
      <c r="L240" s="16"/>
    </row>
    <row r="241" spans="1:12" ht="15.75" customHeight="1">
      <c r="A241" s="135">
        <v>239</v>
      </c>
      <c r="B241" s="14">
        <v>3.4</v>
      </c>
      <c r="C241" s="16">
        <v>4.0999999999999996</v>
      </c>
      <c r="D241" s="16">
        <v>53.6</v>
      </c>
      <c r="E241" s="36">
        <v>3</v>
      </c>
      <c r="F241" s="14">
        <v>3.4</v>
      </c>
      <c r="G241" s="16">
        <v>6.2</v>
      </c>
      <c r="H241" s="16">
        <v>54.2</v>
      </c>
      <c r="I241" s="16">
        <v>8.9</v>
      </c>
      <c r="J241" s="14"/>
      <c r="K241" s="16"/>
      <c r="L241" s="16"/>
    </row>
    <row r="242" spans="1:12" ht="15.75" customHeight="1">
      <c r="A242" s="135">
        <v>240</v>
      </c>
      <c r="B242" s="14">
        <v>3.4</v>
      </c>
      <c r="C242" s="16">
        <v>6.3</v>
      </c>
      <c r="D242" s="16">
        <v>53.5</v>
      </c>
      <c r="E242" s="36">
        <v>2.98</v>
      </c>
      <c r="F242" s="14">
        <v>3.4</v>
      </c>
      <c r="G242" s="16">
        <v>5.9</v>
      </c>
      <c r="H242" s="16">
        <v>54.2</v>
      </c>
      <c r="I242" s="16">
        <v>8.5</v>
      </c>
      <c r="J242" s="14"/>
      <c r="K242" s="16"/>
      <c r="L242" s="16"/>
    </row>
    <row r="243" spans="1:12" ht="15.75" customHeight="1">
      <c r="A243" s="135">
        <v>241</v>
      </c>
      <c r="B243" s="14">
        <v>3.4</v>
      </c>
      <c r="C243" s="16">
        <v>6.2</v>
      </c>
      <c r="D243" s="16">
        <v>53.6</v>
      </c>
      <c r="E243" s="36">
        <v>2.95</v>
      </c>
      <c r="F243" s="14">
        <v>3.4</v>
      </c>
      <c r="G243" s="16">
        <v>6.7</v>
      </c>
      <c r="H243" s="16">
        <v>54.3</v>
      </c>
      <c r="I243" s="16">
        <v>9.3000000000000007</v>
      </c>
      <c r="J243" s="14"/>
      <c r="K243" s="16"/>
      <c r="L243" s="16"/>
    </row>
    <row r="244" spans="1:12" ht="15.75" customHeight="1">
      <c r="A244" s="135">
        <v>242</v>
      </c>
      <c r="B244" s="14">
        <v>3.4</v>
      </c>
      <c r="C244" s="16">
        <v>6.1</v>
      </c>
      <c r="D244" s="16">
        <v>54.2</v>
      </c>
      <c r="E244" s="36">
        <v>2.89</v>
      </c>
      <c r="F244" s="14">
        <v>3.4</v>
      </c>
      <c r="G244" s="16">
        <v>6.6</v>
      </c>
      <c r="H244" s="16">
        <v>54.2</v>
      </c>
      <c r="I244" s="16">
        <v>8.5</v>
      </c>
      <c r="J244" s="14"/>
      <c r="K244" s="16"/>
      <c r="L244" s="16"/>
    </row>
    <row r="245" spans="1:12" ht="15.75" customHeight="1">
      <c r="A245" s="135">
        <v>243</v>
      </c>
      <c r="B245" s="14">
        <v>3.4</v>
      </c>
      <c r="C245" s="16">
        <v>5.9</v>
      </c>
      <c r="D245" s="16">
        <v>54.6</v>
      </c>
      <c r="E245" s="36">
        <v>2.9</v>
      </c>
      <c r="F245" s="14">
        <v>3.4</v>
      </c>
      <c r="G245" s="16">
        <v>6.2</v>
      </c>
      <c r="H245" s="16">
        <v>54.1</v>
      </c>
      <c r="I245" s="16">
        <v>8.6999999999999993</v>
      </c>
      <c r="J245" s="14"/>
      <c r="K245" s="16"/>
      <c r="L245" s="16"/>
    </row>
    <row r="246" spans="1:12" ht="15.75" customHeight="1">
      <c r="A246" s="135">
        <v>244</v>
      </c>
      <c r="B246" s="14">
        <v>3.4</v>
      </c>
      <c r="C246" s="16">
        <v>6.3</v>
      </c>
      <c r="D246" s="16">
        <v>54.7</v>
      </c>
      <c r="E246" s="36">
        <v>3.01</v>
      </c>
      <c r="F246" s="14">
        <v>3.4</v>
      </c>
      <c r="G246" s="16">
        <v>5.9</v>
      </c>
      <c r="H246" s="16">
        <v>54</v>
      </c>
      <c r="I246" s="16">
        <v>8.3000000000000007</v>
      </c>
      <c r="J246" s="14"/>
      <c r="K246" s="16"/>
      <c r="L246" s="16"/>
    </row>
    <row r="247" spans="1:12" ht="15.75" customHeight="1">
      <c r="A247" s="135">
        <v>245</v>
      </c>
      <c r="B247" s="14">
        <v>3.4</v>
      </c>
      <c r="C247" s="16">
        <v>6.3</v>
      </c>
      <c r="D247" s="16">
        <v>54.4</v>
      </c>
      <c r="E247" s="36">
        <v>3.03</v>
      </c>
      <c r="F247" s="14">
        <v>3.4</v>
      </c>
      <c r="G247" s="16">
        <v>6.8</v>
      </c>
      <c r="H247" s="16">
        <v>54.5</v>
      </c>
      <c r="I247" s="16">
        <v>9.4</v>
      </c>
      <c r="J247" s="14"/>
      <c r="K247" s="16"/>
      <c r="L247" s="16"/>
    </row>
    <row r="248" spans="1:12" ht="15.75" customHeight="1">
      <c r="A248" s="135">
        <v>246</v>
      </c>
      <c r="B248" s="14">
        <v>3.4</v>
      </c>
      <c r="C248" s="16">
        <v>6.2</v>
      </c>
      <c r="D248" s="16">
        <v>53.9</v>
      </c>
      <c r="E248" s="36">
        <v>3.26</v>
      </c>
      <c r="F248" s="14">
        <v>3.4</v>
      </c>
      <c r="G248" s="16">
        <v>6.5</v>
      </c>
      <c r="H248" s="16">
        <v>55</v>
      </c>
      <c r="I248" s="16">
        <v>7.9</v>
      </c>
      <c r="J248" s="14"/>
      <c r="K248" s="16"/>
      <c r="L248" s="16"/>
    </row>
    <row r="249" spans="1:12" ht="15.75" customHeight="1">
      <c r="A249" s="135">
        <v>247</v>
      </c>
      <c r="B249" s="14">
        <v>3.4</v>
      </c>
      <c r="C249" s="16">
        <v>6</v>
      </c>
      <c r="D249" s="16">
        <v>54.1</v>
      </c>
      <c r="E249" s="36">
        <v>2.92</v>
      </c>
      <c r="F249" s="14">
        <v>3.4</v>
      </c>
      <c r="G249" s="16">
        <v>6.1</v>
      </c>
      <c r="H249" s="16">
        <v>54.6</v>
      </c>
      <c r="I249" s="16">
        <v>8.3000000000000007</v>
      </c>
      <c r="J249" s="14"/>
      <c r="K249" s="16"/>
      <c r="L249" s="16"/>
    </row>
    <row r="250" spans="1:12" ht="15.75" customHeight="1">
      <c r="A250" s="135">
        <v>248</v>
      </c>
      <c r="B250" s="14">
        <v>3.4</v>
      </c>
      <c r="C250" s="16">
        <v>5.8</v>
      </c>
      <c r="D250" s="16">
        <v>54.4</v>
      </c>
      <c r="E250" s="36">
        <v>2.96</v>
      </c>
      <c r="F250" s="14">
        <v>3.4</v>
      </c>
      <c r="G250" s="16">
        <v>5.9</v>
      </c>
      <c r="H250" s="16">
        <v>53.9</v>
      </c>
      <c r="I250" s="16">
        <v>9.5</v>
      </c>
      <c r="J250" s="14"/>
      <c r="K250" s="16"/>
      <c r="L250" s="16"/>
    </row>
    <row r="251" spans="1:12" ht="15.75" customHeight="1">
      <c r="A251" s="135">
        <v>249</v>
      </c>
      <c r="B251" s="14">
        <v>3.4</v>
      </c>
      <c r="C251" s="16">
        <v>6.3</v>
      </c>
      <c r="D251" s="16">
        <v>54.5</v>
      </c>
      <c r="E251" s="36">
        <v>2.95</v>
      </c>
      <c r="F251" s="14">
        <v>3.4</v>
      </c>
      <c r="G251" s="16">
        <v>6.9</v>
      </c>
      <c r="H251" s="16">
        <v>53.6</v>
      </c>
      <c r="I251" s="16">
        <v>8.5</v>
      </c>
      <c r="J251" s="14"/>
      <c r="K251" s="16"/>
      <c r="L251" s="16"/>
    </row>
    <row r="252" spans="1:12" ht="15.75" customHeight="1">
      <c r="A252" s="135">
        <v>250</v>
      </c>
      <c r="B252" s="14">
        <v>3.4</v>
      </c>
      <c r="C252" s="16">
        <v>6.2</v>
      </c>
      <c r="D252" s="16">
        <v>54.8</v>
      </c>
      <c r="E252" s="36">
        <v>3.46</v>
      </c>
      <c r="F252" s="14">
        <v>3.4</v>
      </c>
      <c r="G252" s="16">
        <v>6.5</v>
      </c>
      <c r="H252" s="16">
        <v>53.8</v>
      </c>
      <c r="I252" s="16">
        <v>8.3000000000000007</v>
      </c>
      <c r="J252" s="14"/>
      <c r="K252" s="16"/>
      <c r="L252" s="16"/>
    </row>
    <row r="253" spans="1:12" ht="15.75" customHeight="1">
      <c r="A253" s="135">
        <v>251</v>
      </c>
      <c r="B253" s="14">
        <v>3.4</v>
      </c>
      <c r="C253" s="16">
        <v>6.2</v>
      </c>
      <c r="D253" s="16">
        <v>54</v>
      </c>
      <c r="E253" s="36">
        <v>2.76</v>
      </c>
      <c r="F253" s="14">
        <v>3.4</v>
      </c>
      <c r="G253" s="16">
        <v>6.1</v>
      </c>
      <c r="H253" s="16">
        <v>55.5</v>
      </c>
      <c r="I253" s="16">
        <v>9.1999999999999993</v>
      </c>
      <c r="J253" s="14"/>
      <c r="K253" s="16"/>
      <c r="L253" s="16"/>
    </row>
    <row r="254" spans="1:12" ht="15.75" customHeight="1">
      <c r="A254" s="135">
        <v>252</v>
      </c>
      <c r="B254" s="14">
        <v>3.4</v>
      </c>
      <c r="C254" s="16">
        <v>6</v>
      </c>
      <c r="D254" s="16">
        <v>54.2</v>
      </c>
      <c r="E254" s="36">
        <v>2.83</v>
      </c>
      <c r="F254" s="136">
        <v>3.4</v>
      </c>
      <c r="G254" s="137">
        <v>5.8</v>
      </c>
      <c r="H254" s="137">
        <v>56.3</v>
      </c>
      <c r="I254" s="137">
        <v>8.9</v>
      </c>
      <c r="J254" s="14"/>
      <c r="K254" s="16"/>
      <c r="L254" s="16"/>
    </row>
    <row r="255" spans="1:12" ht="15.75" customHeight="1">
      <c r="A255" s="135">
        <v>253</v>
      </c>
      <c r="B255" s="14">
        <v>3.4</v>
      </c>
      <c r="C255" s="16">
        <v>5.8</v>
      </c>
      <c r="D255" s="16">
        <v>54.9</v>
      </c>
      <c r="E255" s="36">
        <v>2.83</v>
      </c>
      <c r="F255" s="14">
        <v>3.4</v>
      </c>
      <c r="G255" s="16">
        <v>6.7</v>
      </c>
      <c r="H255" s="16">
        <v>56.6</v>
      </c>
      <c r="I255" s="16">
        <v>8.5</v>
      </c>
      <c r="J255" s="14"/>
      <c r="K255" s="16"/>
      <c r="L255" s="16"/>
    </row>
    <row r="256" spans="1:12" ht="15.75" customHeight="1">
      <c r="A256" s="135">
        <v>254</v>
      </c>
      <c r="B256" s="14">
        <v>3.4</v>
      </c>
      <c r="C256" s="16">
        <v>6.3</v>
      </c>
      <c r="D256" s="16">
        <v>54.3</v>
      </c>
      <c r="E256" s="36">
        <v>2.76</v>
      </c>
      <c r="F256" s="14">
        <v>3.4</v>
      </c>
      <c r="G256" s="16">
        <v>6.5</v>
      </c>
      <c r="H256" s="16">
        <v>56.9</v>
      </c>
      <c r="I256" s="16">
        <v>9.5</v>
      </c>
      <c r="J256" s="14"/>
      <c r="K256" s="16"/>
      <c r="L256" s="16"/>
    </row>
    <row r="257" spans="1:12" ht="15.75" customHeight="1">
      <c r="A257" s="135">
        <v>255</v>
      </c>
      <c r="B257" s="14">
        <v>3.4</v>
      </c>
      <c r="C257" s="16">
        <v>6.3</v>
      </c>
      <c r="D257" s="16">
        <v>54.8</v>
      </c>
      <c r="E257" s="36">
        <v>3.07</v>
      </c>
      <c r="F257" s="14">
        <v>3.4</v>
      </c>
      <c r="G257" s="16">
        <v>6.1</v>
      </c>
      <c r="H257" s="16">
        <v>56.9</v>
      </c>
      <c r="I257" s="16">
        <v>8.9</v>
      </c>
      <c r="J257" s="14"/>
      <c r="K257" s="16"/>
      <c r="L257" s="16"/>
    </row>
    <row r="258" spans="1:12" ht="15.75" customHeight="1">
      <c r="A258" s="135">
        <v>256</v>
      </c>
      <c r="B258" s="14">
        <v>3.4</v>
      </c>
      <c r="C258" s="16">
        <v>6.2</v>
      </c>
      <c r="D258" s="16">
        <v>54.7</v>
      </c>
      <c r="E258" s="36">
        <v>2.83</v>
      </c>
      <c r="F258" s="14">
        <v>3.4</v>
      </c>
      <c r="G258" s="16">
        <v>6</v>
      </c>
      <c r="H258" s="16">
        <v>57</v>
      </c>
      <c r="I258" s="16">
        <v>8.6999999999999993</v>
      </c>
      <c r="J258" s="14"/>
      <c r="K258" s="16"/>
      <c r="L258" s="16"/>
    </row>
    <row r="259" spans="1:12" ht="15.75" customHeight="1">
      <c r="A259" s="135">
        <v>257</v>
      </c>
      <c r="B259" s="14">
        <v>3.4</v>
      </c>
      <c r="C259" s="16">
        <v>6.1</v>
      </c>
      <c r="D259" s="16">
        <v>55.1</v>
      </c>
      <c r="E259" s="36">
        <v>2.89</v>
      </c>
      <c r="F259" s="46">
        <v>3.3</v>
      </c>
      <c r="G259" s="47">
        <v>6.9</v>
      </c>
      <c r="H259" s="47">
        <v>57.1</v>
      </c>
      <c r="I259" s="47">
        <v>9.6</v>
      </c>
      <c r="J259" s="14"/>
      <c r="K259" s="16"/>
      <c r="L259" s="16"/>
    </row>
    <row r="260" spans="1:12" ht="15.75" customHeight="1">
      <c r="A260" s="135">
        <v>258</v>
      </c>
      <c r="B260" s="14">
        <v>3.4</v>
      </c>
      <c r="C260" s="16">
        <v>5.9</v>
      </c>
      <c r="D260" s="16">
        <v>55</v>
      </c>
      <c r="E260" s="36">
        <v>2.92</v>
      </c>
      <c r="G260" s="16"/>
    </row>
    <row r="261" spans="1:12" ht="15.75" customHeight="1">
      <c r="A261" s="135">
        <v>259</v>
      </c>
      <c r="B261" s="14">
        <v>3.4</v>
      </c>
      <c r="C261" s="16">
        <v>6.3</v>
      </c>
      <c r="D261" s="16">
        <v>54.8</v>
      </c>
      <c r="E261" s="36">
        <v>2.95</v>
      </c>
      <c r="G261" s="16"/>
    </row>
    <row r="262" spans="1:12" ht="15.75" customHeight="1">
      <c r="A262" s="135">
        <v>260</v>
      </c>
      <c r="B262" s="14">
        <v>3.4</v>
      </c>
      <c r="C262" s="16">
        <v>6.3</v>
      </c>
      <c r="D262" s="16">
        <v>54.7</v>
      </c>
      <c r="E262" s="36">
        <v>2.95</v>
      </c>
      <c r="G262" s="16"/>
    </row>
    <row r="263" spans="1:12" ht="15.75" customHeight="1">
      <c r="A263" s="135">
        <v>261</v>
      </c>
      <c r="B263" s="14">
        <v>3.4</v>
      </c>
      <c r="C263" s="16">
        <v>6.2</v>
      </c>
      <c r="D263" s="16">
        <v>54.4</v>
      </c>
      <c r="E263" s="36">
        <v>2.98</v>
      </c>
      <c r="G263" s="16"/>
    </row>
    <row r="264" spans="1:12" ht="15.75" customHeight="1">
      <c r="A264" s="135">
        <v>262</v>
      </c>
      <c r="B264" s="14">
        <v>3.4</v>
      </c>
      <c r="C264" s="16">
        <v>6.1</v>
      </c>
      <c r="D264" s="16">
        <v>53.8</v>
      </c>
      <c r="E264" s="36">
        <v>2.89</v>
      </c>
      <c r="G264" s="16"/>
    </row>
    <row r="265" spans="1:12" ht="15.75" customHeight="1">
      <c r="A265" s="135">
        <v>263</v>
      </c>
      <c r="B265" s="14">
        <v>3.4</v>
      </c>
      <c r="C265" s="16">
        <v>6</v>
      </c>
      <c r="D265" s="16">
        <v>53.3</v>
      </c>
      <c r="E265" s="36">
        <v>2.92</v>
      </c>
      <c r="G265" s="16"/>
    </row>
    <row r="266" spans="1:12" ht="15.75" customHeight="1">
      <c r="A266" s="135">
        <v>264</v>
      </c>
      <c r="B266" s="14">
        <v>3.4</v>
      </c>
      <c r="C266" s="16">
        <v>5.8</v>
      </c>
      <c r="D266" s="16">
        <v>53</v>
      </c>
      <c r="E266" s="36">
        <v>2.9</v>
      </c>
      <c r="G266" s="16"/>
    </row>
    <row r="267" spans="1:12" ht="15.75" customHeight="1">
      <c r="A267" s="135">
        <v>265</v>
      </c>
      <c r="B267" s="14">
        <v>3.4</v>
      </c>
      <c r="C267" s="16">
        <v>6.3</v>
      </c>
      <c r="D267" s="16">
        <v>52.7</v>
      </c>
      <c r="E267" s="36">
        <v>2.84</v>
      </c>
      <c r="G267" s="16"/>
    </row>
    <row r="268" spans="1:12" ht="15.75" customHeight="1">
      <c r="A268" s="135">
        <v>266</v>
      </c>
      <c r="B268" s="14">
        <v>3.4</v>
      </c>
      <c r="C268" s="16">
        <v>6.2</v>
      </c>
      <c r="D268" s="16">
        <v>52.5</v>
      </c>
      <c r="E268" s="36">
        <v>2.81</v>
      </c>
      <c r="G268" s="16"/>
    </row>
    <row r="269" spans="1:12" ht="15.75" customHeight="1">
      <c r="A269" s="135">
        <v>267</v>
      </c>
      <c r="B269" s="14">
        <v>3.4</v>
      </c>
      <c r="C269" s="16">
        <v>6.1</v>
      </c>
      <c r="D269" s="16">
        <v>52.2</v>
      </c>
      <c r="E269" s="36">
        <v>2.78</v>
      </c>
      <c r="G269" s="16"/>
    </row>
    <row r="270" spans="1:12" ht="15.75" customHeight="1">
      <c r="A270" s="135">
        <v>268</v>
      </c>
      <c r="B270" s="14">
        <v>3.4</v>
      </c>
      <c r="C270" s="16">
        <v>5.9</v>
      </c>
      <c r="D270" s="16">
        <v>52.1</v>
      </c>
      <c r="E270" s="36">
        <v>2.78</v>
      </c>
      <c r="G270" s="16"/>
    </row>
    <row r="271" spans="1:12" ht="15.75" customHeight="1">
      <c r="A271" s="135">
        <v>269</v>
      </c>
      <c r="B271" s="14">
        <v>3.4</v>
      </c>
      <c r="C271" s="16">
        <v>6</v>
      </c>
      <c r="D271" s="16">
        <v>51.6</v>
      </c>
      <c r="E271" s="36">
        <v>2.78</v>
      </c>
      <c r="G271" s="16"/>
    </row>
    <row r="272" spans="1:12" ht="15.75" customHeight="1">
      <c r="A272" s="135">
        <v>270</v>
      </c>
      <c r="B272" s="14">
        <v>3.4</v>
      </c>
      <c r="C272" s="16">
        <v>6.3</v>
      </c>
      <c r="D272" s="16">
        <v>51.1</v>
      </c>
      <c r="E272" s="36">
        <v>2.84</v>
      </c>
      <c r="G272" s="16"/>
    </row>
    <row r="273" spans="1:7" ht="15.75" customHeight="1">
      <c r="A273" s="135">
        <v>271</v>
      </c>
      <c r="B273" s="14">
        <v>3.4</v>
      </c>
      <c r="C273" s="16">
        <v>6.2</v>
      </c>
      <c r="D273" s="16">
        <v>50.8</v>
      </c>
      <c r="E273" s="36">
        <v>2.84</v>
      </c>
      <c r="G273" s="16"/>
    </row>
    <row r="274" spans="1:7" ht="15.75" customHeight="1">
      <c r="A274" s="135">
        <v>272</v>
      </c>
      <c r="B274" s="14">
        <v>3.4</v>
      </c>
      <c r="C274" s="16">
        <v>6.2</v>
      </c>
      <c r="D274" s="16">
        <v>50.4</v>
      </c>
      <c r="E274" s="36">
        <v>2.78</v>
      </c>
      <c r="G274" s="16"/>
    </row>
    <row r="275" spans="1:7" ht="15.75" customHeight="1">
      <c r="A275" s="135">
        <v>273</v>
      </c>
      <c r="B275" s="14">
        <v>3.4</v>
      </c>
      <c r="C275" s="16">
        <v>6</v>
      </c>
      <c r="D275" s="16">
        <v>50.3</v>
      </c>
      <c r="E275" s="36">
        <v>2.79</v>
      </c>
      <c r="G275" s="16"/>
    </row>
    <row r="276" spans="1:7" ht="15.75" customHeight="1">
      <c r="A276" s="135">
        <v>274</v>
      </c>
      <c r="B276" s="14">
        <v>3.4</v>
      </c>
      <c r="C276" s="16">
        <v>5.8</v>
      </c>
      <c r="D276" s="16">
        <v>51.1</v>
      </c>
      <c r="E276" s="36">
        <v>2.78</v>
      </c>
      <c r="G276" s="16"/>
    </row>
    <row r="277" spans="1:7" ht="15.75" customHeight="1">
      <c r="A277" s="135">
        <v>275</v>
      </c>
      <c r="B277" s="14">
        <v>3.4</v>
      </c>
      <c r="C277" s="16">
        <v>6.3</v>
      </c>
      <c r="D277" s="16">
        <v>52.7</v>
      </c>
      <c r="E277" s="36">
        <v>2.78</v>
      </c>
      <c r="G277" s="16"/>
    </row>
    <row r="278" spans="1:7" ht="15.75" customHeight="1">
      <c r="A278" s="135">
        <v>276</v>
      </c>
      <c r="B278" s="14">
        <v>3.4</v>
      </c>
      <c r="C278" s="16">
        <v>6.2</v>
      </c>
      <c r="D278" s="16">
        <v>53.6</v>
      </c>
      <c r="E278" s="36">
        <v>2.81</v>
      </c>
      <c r="G278" s="16"/>
    </row>
    <row r="279" spans="1:7" ht="15.75" customHeight="1">
      <c r="A279" s="135">
        <v>277</v>
      </c>
      <c r="B279" s="14">
        <v>3.4</v>
      </c>
      <c r="C279" s="16">
        <v>6.2</v>
      </c>
      <c r="D279" s="16">
        <v>53.1</v>
      </c>
      <c r="E279" s="36">
        <v>2.87</v>
      </c>
      <c r="G279" s="16"/>
    </row>
    <row r="280" spans="1:7" ht="15.75" customHeight="1">
      <c r="A280" s="135">
        <v>278</v>
      </c>
      <c r="B280" s="14">
        <v>3.4</v>
      </c>
      <c r="C280" s="16">
        <v>6.1</v>
      </c>
      <c r="D280" s="16">
        <v>52.1</v>
      </c>
      <c r="E280" s="36">
        <v>2.89</v>
      </c>
      <c r="G280" s="16"/>
    </row>
    <row r="281" spans="1:7" ht="15.75" customHeight="1">
      <c r="A281" s="135">
        <v>279</v>
      </c>
      <c r="B281" s="14">
        <v>3.4</v>
      </c>
      <c r="C281" s="16">
        <v>5.9</v>
      </c>
      <c r="D281" s="16">
        <v>51.9</v>
      </c>
      <c r="E281" s="36">
        <v>2.89</v>
      </c>
      <c r="G281" s="16"/>
    </row>
    <row r="282" spans="1:7" ht="15.75" customHeight="1">
      <c r="A282" s="135">
        <v>280</v>
      </c>
      <c r="B282" s="14">
        <v>3.4</v>
      </c>
      <c r="C282" s="16">
        <v>6.3</v>
      </c>
      <c r="D282" s="16">
        <v>52</v>
      </c>
      <c r="E282" s="36">
        <v>2.9</v>
      </c>
      <c r="G282" s="16"/>
    </row>
    <row r="283" spans="1:7" ht="15.75" customHeight="1">
      <c r="A283" s="135">
        <v>281</v>
      </c>
      <c r="B283" s="14">
        <v>3.4</v>
      </c>
      <c r="C283" s="16">
        <v>6.2</v>
      </c>
      <c r="D283" s="16">
        <v>52.2</v>
      </c>
      <c r="E283" s="36">
        <v>2.95</v>
      </c>
      <c r="G283" s="16"/>
    </row>
    <row r="284" spans="1:7" ht="15.75" customHeight="1">
      <c r="A284" s="135">
        <v>282</v>
      </c>
      <c r="B284" s="14">
        <v>3.4</v>
      </c>
      <c r="C284" s="16">
        <v>6.2</v>
      </c>
      <c r="D284" s="16">
        <v>52.4</v>
      </c>
      <c r="E284" s="36">
        <v>2.93</v>
      </c>
      <c r="G284" s="16"/>
    </row>
    <row r="285" spans="1:7" ht="15.75" customHeight="1">
      <c r="A285" s="135">
        <v>283</v>
      </c>
      <c r="B285" s="14">
        <v>3.4</v>
      </c>
      <c r="C285" s="16">
        <v>6.1</v>
      </c>
      <c r="D285" s="16">
        <v>53</v>
      </c>
      <c r="E285" s="36">
        <v>2.95</v>
      </c>
      <c r="G285" s="16"/>
    </row>
    <row r="286" spans="1:7" ht="15.75" customHeight="1">
      <c r="A286" s="135">
        <v>284</v>
      </c>
      <c r="B286" s="14">
        <v>3.4</v>
      </c>
      <c r="C286" s="16">
        <v>5.9</v>
      </c>
      <c r="D286" s="16">
        <v>54.3</v>
      </c>
      <c r="E286" s="36">
        <v>2.92</v>
      </c>
      <c r="G286" s="16"/>
    </row>
    <row r="287" spans="1:7" ht="15.75" customHeight="1">
      <c r="A287" s="135">
        <v>285</v>
      </c>
      <c r="B287" s="14">
        <v>3.4</v>
      </c>
      <c r="C287" s="16">
        <v>6.2</v>
      </c>
      <c r="D287" s="16">
        <v>55.2</v>
      </c>
      <c r="E287" s="36">
        <v>2.97</v>
      </c>
      <c r="G287" s="16"/>
    </row>
    <row r="288" spans="1:7" ht="15.75" customHeight="1">
      <c r="A288" s="135">
        <v>286</v>
      </c>
      <c r="B288" s="14">
        <v>3.4</v>
      </c>
      <c r="C288" s="16">
        <v>6.3</v>
      </c>
      <c r="D288" s="16">
        <v>55.8</v>
      </c>
      <c r="E288" s="36">
        <v>2.98</v>
      </c>
      <c r="G288" s="16"/>
    </row>
    <row r="289" spans="1:7" ht="15.75" customHeight="1">
      <c r="A289" s="135">
        <v>287</v>
      </c>
      <c r="B289" s="14">
        <v>3.4</v>
      </c>
      <c r="C289" s="16">
        <v>6.2</v>
      </c>
      <c r="D289" s="16">
        <v>56.2</v>
      </c>
      <c r="E289" s="36">
        <v>3.01</v>
      </c>
      <c r="G289" s="16"/>
    </row>
    <row r="290" spans="1:7" ht="15.75" customHeight="1">
      <c r="A290" s="135">
        <v>288</v>
      </c>
      <c r="B290" s="14">
        <v>3.4</v>
      </c>
      <c r="C290" s="16">
        <v>6.2</v>
      </c>
      <c r="D290" s="16">
        <v>56.4</v>
      </c>
      <c r="E290" s="36">
        <v>2.95</v>
      </c>
      <c r="G290" s="16"/>
    </row>
    <row r="291" spans="1:7" ht="15.75" customHeight="1">
      <c r="A291" s="135">
        <v>289</v>
      </c>
      <c r="B291" s="14">
        <v>3.4</v>
      </c>
      <c r="C291" s="16">
        <v>6</v>
      </c>
      <c r="D291" s="16">
        <v>56.6</v>
      </c>
      <c r="E291" s="36">
        <v>2.98</v>
      </c>
      <c r="G291" s="16"/>
    </row>
    <row r="292" spans="1:7" ht="15.75" customHeight="1">
      <c r="A292" s="135">
        <v>290</v>
      </c>
      <c r="B292" s="14">
        <v>3.4</v>
      </c>
      <c r="C292" s="16">
        <v>5.5</v>
      </c>
      <c r="D292" s="16">
        <v>56.5</v>
      </c>
      <c r="E292" s="36">
        <v>3.03</v>
      </c>
      <c r="G292" s="16"/>
    </row>
    <row r="293" spans="1:7" ht="15.75" customHeight="1">
      <c r="A293" s="135">
        <v>291</v>
      </c>
      <c r="B293" s="14">
        <v>3.4</v>
      </c>
      <c r="C293" s="16">
        <v>6.3</v>
      </c>
      <c r="D293" s="16">
        <v>56.5</v>
      </c>
      <c r="E293" s="36">
        <v>3.03</v>
      </c>
      <c r="G293" s="16"/>
    </row>
    <row r="294" spans="1:7" ht="15.75" customHeight="1">
      <c r="A294" s="135">
        <v>292</v>
      </c>
      <c r="B294" s="14">
        <v>3.4</v>
      </c>
      <c r="C294" s="16">
        <v>6.2</v>
      </c>
      <c r="D294" s="16">
        <v>56.1</v>
      </c>
      <c r="E294" s="36">
        <v>2.95</v>
      </c>
      <c r="G294" s="16"/>
    </row>
    <row r="295" spans="1:7" ht="15.75" customHeight="1">
      <c r="A295" s="135">
        <v>293</v>
      </c>
      <c r="B295" s="14">
        <v>3.4</v>
      </c>
      <c r="C295" s="16">
        <v>6.2</v>
      </c>
      <c r="D295" s="16">
        <v>56.3</v>
      </c>
      <c r="E295" s="36">
        <v>2.87</v>
      </c>
      <c r="G295" s="16"/>
    </row>
    <row r="296" spans="1:7" ht="15.75" customHeight="1">
      <c r="A296" s="135">
        <v>294</v>
      </c>
      <c r="B296" s="14">
        <v>3.4</v>
      </c>
      <c r="C296" s="16">
        <v>6</v>
      </c>
      <c r="D296" s="16">
        <v>55.9</v>
      </c>
      <c r="E296" s="36">
        <v>2.72</v>
      </c>
      <c r="G296" s="16"/>
    </row>
    <row r="297" spans="1:7" ht="15.75" customHeight="1">
      <c r="A297" s="135">
        <v>295</v>
      </c>
      <c r="B297" s="14">
        <v>3.4</v>
      </c>
      <c r="C297" s="16">
        <v>5.8</v>
      </c>
      <c r="D297" s="16">
        <v>56.4</v>
      </c>
      <c r="E297" s="36">
        <v>3.33</v>
      </c>
      <c r="G297" s="16"/>
    </row>
    <row r="298" spans="1:7" ht="15.75" customHeight="1">
      <c r="A298" s="135">
        <v>296</v>
      </c>
      <c r="B298" s="14">
        <v>3.4</v>
      </c>
      <c r="C298" s="16">
        <v>6.3</v>
      </c>
      <c r="D298" s="16">
        <v>56.6</v>
      </c>
      <c r="E298" s="36">
        <v>2.81</v>
      </c>
      <c r="G298" s="16"/>
    </row>
    <row r="299" spans="1:7" ht="15.75" customHeight="1">
      <c r="A299" s="135">
        <v>297</v>
      </c>
      <c r="B299" s="136">
        <v>3.4</v>
      </c>
      <c r="C299" s="137">
        <v>6.2</v>
      </c>
      <c r="D299" s="137">
        <v>56.1</v>
      </c>
      <c r="E299" s="138">
        <v>2.78</v>
      </c>
      <c r="G299" s="16"/>
    </row>
    <row r="300" spans="1:7" ht="15.75" customHeight="1">
      <c r="A300" s="135">
        <v>298</v>
      </c>
      <c r="B300" s="14">
        <v>3.4</v>
      </c>
      <c r="C300" s="16">
        <v>6.2</v>
      </c>
      <c r="D300" s="16">
        <v>56</v>
      </c>
      <c r="E300" s="36">
        <v>2.87</v>
      </c>
      <c r="G300" s="16"/>
    </row>
    <row r="301" spans="1:7" ht="15.75" customHeight="1">
      <c r="A301" s="135">
        <v>299</v>
      </c>
      <c r="B301" s="14">
        <v>3.4</v>
      </c>
      <c r="C301" s="16">
        <v>6</v>
      </c>
      <c r="D301" s="16">
        <v>56.6</v>
      </c>
      <c r="E301" s="36">
        <v>2.87</v>
      </c>
      <c r="G301" s="16"/>
    </row>
    <row r="302" spans="1:7" ht="15.75" customHeight="1">
      <c r="A302" s="135">
        <v>300</v>
      </c>
      <c r="B302" s="14">
        <v>3.4</v>
      </c>
      <c r="C302" s="16">
        <v>5.8</v>
      </c>
      <c r="D302" s="16">
        <v>56.8</v>
      </c>
      <c r="E302" s="36">
        <v>3</v>
      </c>
      <c r="G302" s="16"/>
    </row>
    <row r="303" spans="1:7" ht="15.75" customHeight="1">
      <c r="A303" s="135">
        <v>301</v>
      </c>
      <c r="B303" s="14">
        <v>3.4</v>
      </c>
      <c r="C303" s="16">
        <v>6.3</v>
      </c>
      <c r="D303" s="16">
        <v>56.4</v>
      </c>
      <c r="E303" s="36">
        <v>4.16</v>
      </c>
      <c r="G303" s="16"/>
    </row>
    <row r="304" spans="1:7" ht="15.75" customHeight="1">
      <c r="A304" s="139">
        <v>302</v>
      </c>
      <c r="B304" s="46">
        <v>3.4</v>
      </c>
      <c r="C304" s="47">
        <v>6.3</v>
      </c>
      <c r="D304" s="47">
        <v>51.9</v>
      </c>
      <c r="E304" s="48">
        <v>2.4700000000000002</v>
      </c>
      <c r="G304" s="16"/>
    </row>
    <row r="305" spans="7:7" ht="15.75" customHeight="1">
      <c r="G305" s="16"/>
    </row>
    <row r="306" spans="7:7" ht="15.75" customHeight="1">
      <c r="G306" s="16"/>
    </row>
    <row r="307" spans="7:7" ht="15.75" customHeight="1">
      <c r="G307" s="16"/>
    </row>
    <row r="308" spans="7:7" ht="15.75" customHeight="1">
      <c r="G308" s="16"/>
    </row>
    <row r="309" spans="7:7" ht="15.75" customHeight="1">
      <c r="G309" s="16"/>
    </row>
    <row r="310" spans="7:7" ht="15.75" customHeight="1">
      <c r="G310" s="16"/>
    </row>
    <row r="311" spans="7:7" ht="15.75" customHeight="1">
      <c r="G311" s="16"/>
    </row>
    <row r="312" spans="7:7" ht="15.75" customHeight="1">
      <c r="G312" s="16"/>
    </row>
    <row r="313" spans="7:7" ht="15.75" customHeight="1">
      <c r="G313" s="16"/>
    </row>
    <row r="314" spans="7:7" ht="15.75" customHeight="1">
      <c r="G314" s="16"/>
    </row>
    <row r="315" spans="7:7" ht="15.75" customHeight="1">
      <c r="G315" s="16"/>
    </row>
    <row r="316" spans="7:7" ht="15.75" customHeight="1">
      <c r="G316" s="16"/>
    </row>
    <row r="317" spans="7:7" ht="15.75" customHeight="1">
      <c r="G317" s="16"/>
    </row>
    <row r="318" spans="7:7" ht="15.75" customHeight="1">
      <c r="G318" s="16"/>
    </row>
    <row r="319" spans="7:7" ht="15.75" customHeight="1">
      <c r="G319" s="16"/>
    </row>
    <row r="320" spans="7:7" ht="15.75" customHeight="1">
      <c r="G320" s="16"/>
    </row>
    <row r="321" spans="7:7" ht="15.75" customHeight="1">
      <c r="G321" s="16"/>
    </row>
    <row r="322" spans="7:7" ht="15.75" customHeight="1">
      <c r="G322" s="16"/>
    </row>
    <row r="323" spans="7:7" ht="15.75" customHeight="1">
      <c r="G323" s="16"/>
    </row>
    <row r="324" spans="7:7" ht="15.75" customHeight="1">
      <c r="G324" s="16"/>
    </row>
    <row r="325" spans="7:7" ht="15.75" customHeight="1">
      <c r="G325" s="16"/>
    </row>
    <row r="326" spans="7:7" ht="15.75" customHeight="1">
      <c r="G326" s="16"/>
    </row>
    <row r="327" spans="7:7" ht="15.75" customHeight="1">
      <c r="G327" s="16"/>
    </row>
    <row r="328" spans="7:7" ht="15.75" customHeight="1">
      <c r="G328" s="16"/>
    </row>
    <row r="329" spans="7:7" ht="15.75" customHeight="1">
      <c r="G329" s="16"/>
    </row>
    <row r="330" spans="7:7" ht="15.75" customHeight="1">
      <c r="G330" s="16"/>
    </row>
    <row r="331" spans="7:7" ht="15.75" customHeight="1">
      <c r="G331" s="16"/>
    </row>
    <row r="332" spans="7:7" ht="15.75" customHeight="1">
      <c r="G332" s="16"/>
    </row>
    <row r="333" spans="7:7" ht="15.75" customHeight="1">
      <c r="G333" s="16"/>
    </row>
    <row r="334" spans="7:7" ht="15.75" customHeight="1">
      <c r="G334" s="16"/>
    </row>
    <row r="335" spans="7:7" ht="15.75" customHeight="1">
      <c r="G335" s="16"/>
    </row>
    <row r="336" spans="7:7" ht="15.75" customHeight="1">
      <c r="G336" s="16"/>
    </row>
    <row r="337" spans="7:7" ht="15.75" customHeight="1">
      <c r="G337" s="16"/>
    </row>
    <row r="338" spans="7:7" ht="15.75" customHeight="1">
      <c r="G338" s="16"/>
    </row>
    <row r="339" spans="7:7" ht="15.75" customHeight="1">
      <c r="G339" s="16"/>
    </row>
    <row r="340" spans="7:7" ht="15.75" customHeight="1">
      <c r="G340" s="16"/>
    </row>
    <row r="341" spans="7:7" ht="15.75" customHeight="1">
      <c r="G341" s="16"/>
    </row>
    <row r="342" spans="7:7" ht="15.75" customHeight="1">
      <c r="G342" s="16"/>
    </row>
    <row r="343" spans="7:7" ht="15.75" customHeight="1">
      <c r="G343" s="16"/>
    </row>
    <row r="344" spans="7:7" ht="15.75" customHeight="1">
      <c r="G344" s="16"/>
    </row>
    <row r="345" spans="7:7" ht="15.75" customHeight="1">
      <c r="G345" s="16"/>
    </row>
    <row r="346" spans="7:7" ht="15.75" customHeight="1">
      <c r="G346" s="16"/>
    </row>
    <row r="347" spans="7:7" ht="15.75" customHeight="1">
      <c r="G347" s="16"/>
    </row>
    <row r="348" spans="7:7" ht="15.75" customHeight="1">
      <c r="G348" s="16"/>
    </row>
    <row r="349" spans="7:7" ht="15.75" customHeight="1">
      <c r="G349" s="16"/>
    </row>
    <row r="350" spans="7:7" ht="15.75" customHeight="1">
      <c r="G350" s="16"/>
    </row>
    <row r="351" spans="7:7" ht="15.75" customHeight="1">
      <c r="G351" s="16"/>
    </row>
    <row r="352" spans="7:7" ht="15.75" customHeight="1">
      <c r="G352" s="16"/>
    </row>
    <row r="353" spans="7:7" ht="15.75" customHeight="1">
      <c r="G353" s="16"/>
    </row>
    <row r="354" spans="7:7" ht="15.75" customHeight="1">
      <c r="G354" s="16"/>
    </row>
    <row r="355" spans="7:7" ht="15.75" customHeight="1">
      <c r="G355" s="16"/>
    </row>
    <row r="356" spans="7:7" ht="15.75" customHeight="1">
      <c r="G356" s="16"/>
    </row>
    <row r="357" spans="7:7" ht="15.75" customHeight="1">
      <c r="G357" s="16"/>
    </row>
    <row r="358" spans="7:7" ht="15.75" customHeight="1">
      <c r="G358" s="16"/>
    </row>
    <row r="359" spans="7:7" ht="15.75" customHeight="1">
      <c r="G359" s="16"/>
    </row>
    <row r="360" spans="7:7" ht="15.75" customHeight="1">
      <c r="G360" s="16"/>
    </row>
    <row r="361" spans="7:7" ht="15.75" customHeight="1">
      <c r="G361" s="16"/>
    </row>
    <row r="362" spans="7:7" ht="15.75" customHeight="1">
      <c r="G362" s="16"/>
    </row>
    <row r="363" spans="7:7" ht="15.75" customHeight="1">
      <c r="G363" s="16"/>
    </row>
    <row r="364" spans="7:7" ht="15.75" customHeight="1">
      <c r="G364" s="16"/>
    </row>
    <row r="365" spans="7:7" ht="15.75" customHeight="1">
      <c r="G365" s="16"/>
    </row>
    <row r="366" spans="7:7" ht="15.75" customHeight="1">
      <c r="G366" s="16"/>
    </row>
    <row r="367" spans="7:7" ht="15.75" customHeight="1">
      <c r="G367" s="16"/>
    </row>
    <row r="368" spans="7:7" ht="15.75" customHeight="1">
      <c r="G368" s="16"/>
    </row>
    <row r="369" spans="7:7" ht="15.75" customHeight="1">
      <c r="G369" s="16"/>
    </row>
    <row r="370" spans="7:7" ht="15.75" customHeight="1">
      <c r="G370" s="16"/>
    </row>
    <row r="371" spans="7:7" ht="15.75" customHeight="1">
      <c r="G371" s="16"/>
    </row>
    <row r="372" spans="7:7" ht="15.75" customHeight="1">
      <c r="G372" s="16"/>
    </row>
    <row r="373" spans="7:7" ht="15.75" customHeight="1">
      <c r="G373" s="16"/>
    </row>
    <row r="374" spans="7:7" ht="15.75" customHeight="1">
      <c r="G374" s="16"/>
    </row>
    <row r="375" spans="7:7" ht="15.75" customHeight="1">
      <c r="G375" s="16"/>
    </row>
    <row r="376" spans="7:7" ht="15.75" customHeight="1">
      <c r="G376" s="16"/>
    </row>
    <row r="377" spans="7:7" ht="15.75" customHeight="1">
      <c r="G377" s="16"/>
    </row>
    <row r="378" spans="7:7" ht="15.75" customHeight="1">
      <c r="G378" s="16"/>
    </row>
    <row r="379" spans="7:7" ht="15.75" customHeight="1">
      <c r="G379" s="16"/>
    </row>
    <row r="380" spans="7:7" ht="15.75" customHeight="1">
      <c r="G380" s="16"/>
    </row>
    <row r="381" spans="7:7" ht="15.75" customHeight="1">
      <c r="G381" s="16"/>
    </row>
    <row r="382" spans="7:7" ht="15.75" customHeight="1">
      <c r="G382" s="16"/>
    </row>
    <row r="383" spans="7:7" ht="15.75" customHeight="1">
      <c r="G383" s="16"/>
    </row>
    <row r="384" spans="7:7" ht="15.75" customHeight="1">
      <c r="G384" s="16"/>
    </row>
    <row r="385" spans="7:7" ht="15.75" customHeight="1">
      <c r="G385" s="16"/>
    </row>
    <row r="386" spans="7:7" ht="15.75" customHeight="1">
      <c r="G386" s="16"/>
    </row>
    <row r="387" spans="7:7" ht="15.75" customHeight="1">
      <c r="G387" s="16"/>
    </row>
    <row r="388" spans="7:7" ht="15.75" customHeight="1">
      <c r="G388" s="16"/>
    </row>
    <row r="389" spans="7:7" ht="15.75" customHeight="1">
      <c r="G389" s="16"/>
    </row>
    <row r="390" spans="7:7" ht="15.75" customHeight="1">
      <c r="G390" s="16"/>
    </row>
    <row r="391" spans="7:7" ht="15.75" customHeight="1">
      <c r="G391" s="16"/>
    </row>
    <row r="392" spans="7:7" ht="15.75" customHeight="1">
      <c r="G392" s="16"/>
    </row>
    <row r="393" spans="7:7" ht="15.75" customHeight="1">
      <c r="G393" s="16"/>
    </row>
    <row r="394" spans="7:7" ht="15.75" customHeight="1">
      <c r="G394" s="16"/>
    </row>
    <row r="395" spans="7:7" ht="15.75" customHeight="1">
      <c r="G395" s="16"/>
    </row>
    <row r="396" spans="7:7" ht="15.75" customHeight="1">
      <c r="G396" s="16"/>
    </row>
    <row r="397" spans="7:7" ht="15.75" customHeight="1">
      <c r="G397" s="16"/>
    </row>
    <row r="398" spans="7:7" ht="15.75" customHeight="1">
      <c r="G398" s="16"/>
    </row>
    <row r="399" spans="7:7" ht="15.75" customHeight="1">
      <c r="G399" s="16"/>
    </row>
    <row r="400" spans="7:7" ht="15.75" customHeight="1">
      <c r="G400" s="16"/>
    </row>
    <row r="401" spans="7:7" ht="15.75" customHeight="1">
      <c r="G401" s="16"/>
    </row>
    <row r="402" spans="7:7" ht="15.75" customHeight="1">
      <c r="G402" s="16"/>
    </row>
    <row r="403" spans="7:7" ht="15.75" customHeight="1">
      <c r="G403" s="16"/>
    </row>
    <row r="404" spans="7:7" ht="15.75" customHeight="1">
      <c r="G404" s="16"/>
    </row>
    <row r="405" spans="7:7" ht="15.75" customHeight="1">
      <c r="G405" s="16"/>
    </row>
    <row r="406" spans="7:7" ht="15.75" customHeight="1">
      <c r="G406" s="16"/>
    </row>
    <row r="407" spans="7:7" ht="15.75" customHeight="1">
      <c r="G407" s="16"/>
    </row>
    <row r="408" spans="7:7" ht="15.75" customHeight="1">
      <c r="G408" s="16"/>
    </row>
    <row r="409" spans="7:7" ht="15.75" customHeight="1">
      <c r="G409" s="16"/>
    </row>
    <row r="410" spans="7:7" ht="15.75" customHeight="1">
      <c r="G410" s="16"/>
    </row>
    <row r="411" spans="7:7" ht="15.75" customHeight="1">
      <c r="G411" s="16"/>
    </row>
    <row r="412" spans="7:7" ht="15.75" customHeight="1">
      <c r="G412" s="16"/>
    </row>
    <row r="413" spans="7:7" ht="15.75" customHeight="1">
      <c r="G413" s="16"/>
    </row>
    <row r="414" spans="7:7" ht="15.75" customHeight="1">
      <c r="G414" s="16"/>
    </row>
    <row r="415" spans="7:7" ht="15.75" customHeight="1">
      <c r="G415" s="16"/>
    </row>
    <row r="416" spans="7:7" ht="15.75" customHeight="1">
      <c r="G416" s="16"/>
    </row>
    <row r="417" spans="7:7" ht="15.75" customHeight="1">
      <c r="G417" s="16"/>
    </row>
    <row r="418" spans="7:7" ht="15.75" customHeight="1">
      <c r="G418" s="16"/>
    </row>
    <row r="419" spans="7:7" ht="15.75" customHeight="1">
      <c r="G419" s="16"/>
    </row>
    <row r="420" spans="7:7" ht="15.75" customHeight="1">
      <c r="G420" s="16"/>
    </row>
    <row r="421" spans="7:7" ht="15.75" customHeight="1">
      <c r="G421" s="16"/>
    </row>
    <row r="422" spans="7:7" ht="15.75" customHeight="1">
      <c r="G422" s="16"/>
    </row>
    <row r="423" spans="7:7" ht="15.75" customHeight="1">
      <c r="G423" s="16"/>
    </row>
    <row r="424" spans="7:7" ht="15.75" customHeight="1">
      <c r="G424" s="16"/>
    </row>
    <row r="425" spans="7:7" ht="15.75" customHeight="1">
      <c r="G425" s="16"/>
    </row>
    <row r="426" spans="7:7" ht="15.75" customHeight="1">
      <c r="G426" s="16"/>
    </row>
    <row r="427" spans="7:7" ht="15.75" customHeight="1">
      <c r="G427" s="16"/>
    </row>
    <row r="428" spans="7:7" ht="15.75" customHeight="1">
      <c r="G428" s="16"/>
    </row>
    <row r="429" spans="7:7" ht="15.75" customHeight="1">
      <c r="G429" s="16"/>
    </row>
    <row r="430" spans="7:7" ht="15.75" customHeight="1">
      <c r="G430" s="16"/>
    </row>
    <row r="431" spans="7:7" ht="15.75" customHeight="1">
      <c r="G431" s="16"/>
    </row>
    <row r="432" spans="7:7" ht="15.75" customHeight="1">
      <c r="G432" s="16"/>
    </row>
    <row r="433" spans="7:7" ht="15.75" customHeight="1">
      <c r="G433" s="16"/>
    </row>
    <row r="434" spans="7:7" ht="15.75" customHeight="1">
      <c r="G434" s="16"/>
    </row>
    <row r="435" spans="7:7" ht="15.75" customHeight="1">
      <c r="G435" s="16"/>
    </row>
    <row r="436" spans="7:7" ht="15.75" customHeight="1">
      <c r="G436" s="16"/>
    </row>
    <row r="437" spans="7:7" ht="15.75" customHeight="1">
      <c r="G437" s="16"/>
    </row>
    <row r="438" spans="7:7" ht="15.75" customHeight="1">
      <c r="G438" s="16"/>
    </row>
    <row r="439" spans="7:7" ht="15.75" customHeight="1">
      <c r="G439" s="16"/>
    </row>
    <row r="440" spans="7:7" ht="15.75" customHeight="1">
      <c r="G440" s="16"/>
    </row>
    <row r="441" spans="7:7" ht="15.75" customHeight="1">
      <c r="G441" s="16"/>
    </row>
    <row r="442" spans="7:7" ht="15.75" customHeight="1">
      <c r="G442" s="16"/>
    </row>
    <row r="443" spans="7:7" ht="15.75" customHeight="1">
      <c r="G443" s="16"/>
    </row>
    <row r="444" spans="7:7" ht="15.75" customHeight="1">
      <c r="G444" s="16"/>
    </row>
    <row r="445" spans="7:7" ht="15.75" customHeight="1">
      <c r="G445" s="16"/>
    </row>
    <row r="446" spans="7:7" ht="15.75" customHeight="1">
      <c r="G446" s="16"/>
    </row>
    <row r="447" spans="7:7" ht="15.75" customHeight="1">
      <c r="G447" s="16"/>
    </row>
    <row r="448" spans="7:7" ht="15.75" customHeight="1">
      <c r="G448" s="16"/>
    </row>
    <row r="449" spans="7:7" ht="15.75" customHeight="1">
      <c r="G449" s="16"/>
    </row>
    <row r="450" spans="7:7" ht="15.75" customHeight="1">
      <c r="G450" s="16"/>
    </row>
    <row r="451" spans="7:7" ht="15.75" customHeight="1">
      <c r="G451" s="16"/>
    </row>
    <row r="452" spans="7:7" ht="15.75" customHeight="1">
      <c r="G452" s="16"/>
    </row>
    <row r="453" spans="7:7" ht="15.75" customHeight="1">
      <c r="G453" s="16"/>
    </row>
    <row r="454" spans="7:7" ht="15.75" customHeight="1">
      <c r="G454" s="16"/>
    </row>
    <row r="455" spans="7:7" ht="15.75" customHeight="1">
      <c r="G455" s="16"/>
    </row>
    <row r="456" spans="7:7" ht="15.75" customHeight="1">
      <c r="G456" s="16"/>
    </row>
    <row r="457" spans="7:7" ht="15.75" customHeight="1">
      <c r="G457" s="16"/>
    </row>
    <row r="458" spans="7:7" ht="15.75" customHeight="1">
      <c r="G458" s="16"/>
    </row>
    <row r="459" spans="7:7" ht="15.75" customHeight="1">
      <c r="G459" s="16"/>
    </row>
    <row r="460" spans="7:7" ht="15.75" customHeight="1">
      <c r="G460" s="16"/>
    </row>
    <row r="461" spans="7:7" ht="15.75" customHeight="1">
      <c r="G461" s="16"/>
    </row>
    <row r="462" spans="7:7" ht="15.75" customHeight="1">
      <c r="G462" s="16"/>
    </row>
    <row r="463" spans="7:7" ht="15.75" customHeight="1">
      <c r="G463" s="16"/>
    </row>
    <row r="464" spans="7:7" ht="15.75" customHeight="1">
      <c r="G464" s="16"/>
    </row>
    <row r="465" spans="7:7" ht="15.75" customHeight="1">
      <c r="G465" s="16"/>
    </row>
    <row r="466" spans="7:7" ht="15.75" customHeight="1">
      <c r="G466" s="16"/>
    </row>
    <row r="467" spans="7:7" ht="15.75" customHeight="1">
      <c r="G467" s="16"/>
    </row>
    <row r="468" spans="7:7" ht="15.75" customHeight="1">
      <c r="G468" s="16"/>
    </row>
    <row r="469" spans="7:7" ht="15.75" customHeight="1">
      <c r="G469" s="16"/>
    </row>
    <row r="470" spans="7:7" ht="15.75" customHeight="1">
      <c r="G470" s="16"/>
    </row>
    <row r="471" spans="7:7" ht="15.75" customHeight="1">
      <c r="G471" s="16"/>
    </row>
    <row r="472" spans="7:7" ht="15.75" customHeight="1">
      <c r="G472" s="16"/>
    </row>
    <row r="473" spans="7:7" ht="15.75" customHeight="1">
      <c r="G473" s="16"/>
    </row>
    <row r="474" spans="7:7" ht="15.75" customHeight="1">
      <c r="G474" s="16"/>
    </row>
    <row r="475" spans="7:7" ht="15.75" customHeight="1">
      <c r="G475" s="16"/>
    </row>
    <row r="476" spans="7:7" ht="15.75" customHeight="1">
      <c r="G476" s="16"/>
    </row>
    <row r="477" spans="7:7" ht="15.75" customHeight="1">
      <c r="G477" s="16"/>
    </row>
    <row r="478" spans="7:7" ht="15.75" customHeight="1">
      <c r="G478" s="16"/>
    </row>
    <row r="479" spans="7:7" ht="15.75" customHeight="1">
      <c r="G479" s="16"/>
    </row>
    <row r="480" spans="7:7" ht="15.75" customHeight="1">
      <c r="G480" s="16"/>
    </row>
    <row r="481" spans="7:7" ht="15.75" customHeight="1">
      <c r="G481" s="16"/>
    </row>
    <row r="482" spans="7:7" ht="15.75" customHeight="1">
      <c r="G482" s="16"/>
    </row>
    <row r="483" spans="7:7" ht="15.75" customHeight="1">
      <c r="G483" s="16"/>
    </row>
    <row r="484" spans="7:7" ht="15.75" customHeight="1">
      <c r="G484" s="16"/>
    </row>
    <row r="485" spans="7:7" ht="15.75" customHeight="1">
      <c r="G485" s="16"/>
    </row>
    <row r="486" spans="7:7" ht="15.75" customHeight="1">
      <c r="G486" s="16"/>
    </row>
    <row r="487" spans="7:7" ht="15.75" customHeight="1">
      <c r="G487" s="16"/>
    </row>
    <row r="488" spans="7:7" ht="15.75" customHeight="1">
      <c r="G488" s="16"/>
    </row>
    <row r="489" spans="7:7" ht="15.75" customHeight="1">
      <c r="G489" s="16"/>
    </row>
    <row r="490" spans="7:7" ht="15.75" customHeight="1">
      <c r="G490" s="16"/>
    </row>
    <row r="491" spans="7:7" ht="15.75" customHeight="1">
      <c r="G491" s="16"/>
    </row>
    <row r="492" spans="7:7" ht="15.75" customHeight="1">
      <c r="G492" s="16"/>
    </row>
    <row r="493" spans="7:7" ht="15.75" customHeight="1">
      <c r="G493" s="16"/>
    </row>
    <row r="494" spans="7:7" ht="15.75" customHeight="1">
      <c r="G494" s="16"/>
    </row>
    <row r="495" spans="7:7" ht="15.75" customHeight="1">
      <c r="G495" s="16"/>
    </row>
    <row r="496" spans="7:7" ht="15.75" customHeight="1">
      <c r="G496" s="16"/>
    </row>
    <row r="497" spans="7:7" ht="15.75" customHeight="1">
      <c r="G497" s="16"/>
    </row>
    <row r="498" spans="7:7" ht="15.75" customHeight="1">
      <c r="G498" s="16"/>
    </row>
    <row r="499" spans="7:7" ht="15.75" customHeight="1">
      <c r="G499" s="16"/>
    </row>
    <row r="500" spans="7:7" ht="15.75" customHeight="1">
      <c r="G500" s="16"/>
    </row>
    <row r="501" spans="7:7" ht="15.75" customHeight="1">
      <c r="G501" s="16"/>
    </row>
    <row r="502" spans="7:7" ht="15.75" customHeight="1">
      <c r="G502" s="16"/>
    </row>
    <row r="503" spans="7:7" ht="15.75" customHeight="1">
      <c r="G503" s="16"/>
    </row>
    <row r="504" spans="7:7" ht="15.75" customHeight="1">
      <c r="G504" s="16"/>
    </row>
    <row r="505" spans="7:7" ht="15.75" customHeight="1">
      <c r="G505" s="16"/>
    </row>
    <row r="506" spans="7:7" ht="15.75" customHeight="1">
      <c r="G506" s="16"/>
    </row>
    <row r="507" spans="7:7" ht="15.75" customHeight="1">
      <c r="G507" s="16"/>
    </row>
    <row r="508" spans="7:7" ht="15.75" customHeight="1">
      <c r="G508" s="16"/>
    </row>
    <row r="509" spans="7:7" ht="15.75" customHeight="1">
      <c r="G509" s="16"/>
    </row>
    <row r="510" spans="7:7" ht="15.75" customHeight="1">
      <c r="G510" s="16"/>
    </row>
    <row r="511" spans="7:7" ht="15.75" customHeight="1">
      <c r="G511" s="16"/>
    </row>
    <row r="512" spans="7:7" ht="15.75" customHeight="1">
      <c r="G512" s="16"/>
    </row>
    <row r="513" spans="7:7" ht="15.75" customHeight="1">
      <c r="G513" s="16"/>
    </row>
    <row r="514" spans="7:7" ht="15.75" customHeight="1">
      <c r="G514" s="16"/>
    </row>
    <row r="515" spans="7:7" ht="15.75" customHeight="1">
      <c r="G515" s="16"/>
    </row>
    <row r="516" spans="7:7" ht="15.75" customHeight="1">
      <c r="G516" s="16"/>
    </row>
    <row r="517" spans="7:7" ht="15.75" customHeight="1">
      <c r="G517" s="16"/>
    </row>
    <row r="518" spans="7:7" ht="15.75" customHeight="1">
      <c r="G518" s="16"/>
    </row>
    <row r="519" spans="7:7" ht="15.75" customHeight="1">
      <c r="G519" s="16"/>
    </row>
    <row r="520" spans="7:7" ht="15.75" customHeight="1">
      <c r="G520" s="16"/>
    </row>
    <row r="521" spans="7:7" ht="15.75" customHeight="1">
      <c r="G521" s="16"/>
    </row>
    <row r="522" spans="7:7" ht="15.75" customHeight="1">
      <c r="G522" s="16"/>
    </row>
    <row r="523" spans="7:7" ht="15.75" customHeight="1">
      <c r="G523" s="16"/>
    </row>
    <row r="524" spans="7:7" ht="15.75" customHeight="1">
      <c r="G524" s="16"/>
    </row>
    <row r="525" spans="7:7" ht="15.75" customHeight="1">
      <c r="G525" s="16"/>
    </row>
    <row r="526" spans="7:7" ht="15.75" customHeight="1">
      <c r="G526" s="16"/>
    </row>
    <row r="527" spans="7:7" ht="15.75" customHeight="1">
      <c r="G527" s="16"/>
    </row>
    <row r="528" spans="7:7" ht="15.75" customHeight="1">
      <c r="G528" s="16"/>
    </row>
    <row r="529" spans="7:7" ht="15.75" customHeight="1">
      <c r="G529" s="16"/>
    </row>
    <row r="530" spans="7:7" ht="15.75" customHeight="1">
      <c r="G530" s="16"/>
    </row>
    <row r="531" spans="7:7" ht="15.75" customHeight="1">
      <c r="G531" s="16"/>
    </row>
    <row r="532" spans="7:7" ht="15.75" customHeight="1">
      <c r="G532" s="16"/>
    </row>
    <row r="533" spans="7:7" ht="15.75" customHeight="1">
      <c r="G533" s="16"/>
    </row>
    <row r="534" spans="7:7" ht="15.75" customHeight="1">
      <c r="G534" s="16"/>
    </row>
    <row r="535" spans="7:7" ht="15.75" customHeight="1">
      <c r="G535" s="16"/>
    </row>
    <row r="536" spans="7:7" ht="15.75" customHeight="1">
      <c r="G536" s="16"/>
    </row>
    <row r="537" spans="7:7" ht="15.75" customHeight="1">
      <c r="G537" s="16"/>
    </row>
    <row r="538" spans="7:7" ht="15.75" customHeight="1">
      <c r="G538" s="16"/>
    </row>
    <row r="539" spans="7:7" ht="15.75" customHeight="1">
      <c r="G539" s="16"/>
    </row>
    <row r="540" spans="7:7" ht="15.75" customHeight="1">
      <c r="G540" s="16"/>
    </row>
    <row r="541" spans="7:7" ht="15.75" customHeight="1">
      <c r="G541" s="16"/>
    </row>
    <row r="542" spans="7:7" ht="15.75" customHeight="1">
      <c r="G542" s="16"/>
    </row>
    <row r="543" spans="7:7" ht="15.75" customHeight="1">
      <c r="G543" s="16"/>
    </row>
    <row r="544" spans="7:7" ht="15.75" customHeight="1">
      <c r="G544" s="16"/>
    </row>
    <row r="545" spans="7:7" ht="15.75" customHeight="1">
      <c r="G545" s="16"/>
    </row>
    <row r="546" spans="7:7" ht="15.75" customHeight="1">
      <c r="G546" s="16"/>
    </row>
    <row r="547" spans="7:7" ht="15.75" customHeight="1">
      <c r="G547" s="16"/>
    </row>
    <row r="548" spans="7:7" ht="15.75" customHeight="1">
      <c r="G548" s="16"/>
    </row>
    <row r="549" spans="7:7" ht="15.75" customHeight="1">
      <c r="G549" s="16"/>
    </row>
    <row r="550" spans="7:7" ht="15.75" customHeight="1">
      <c r="G550" s="16"/>
    </row>
    <row r="551" spans="7:7" ht="15.75" customHeight="1">
      <c r="G551" s="16"/>
    </row>
    <row r="552" spans="7:7" ht="15.75" customHeight="1">
      <c r="G552" s="16"/>
    </row>
    <row r="553" spans="7:7" ht="15.75" customHeight="1">
      <c r="G553" s="16"/>
    </row>
    <row r="554" spans="7:7" ht="15.75" customHeight="1">
      <c r="G554" s="16"/>
    </row>
    <row r="555" spans="7:7" ht="15.75" customHeight="1">
      <c r="G555" s="16"/>
    </row>
    <row r="556" spans="7:7" ht="15.75" customHeight="1">
      <c r="G556" s="16"/>
    </row>
    <row r="557" spans="7:7" ht="15.75" customHeight="1">
      <c r="G557" s="16"/>
    </row>
    <row r="558" spans="7:7" ht="15.75" customHeight="1">
      <c r="G558" s="16"/>
    </row>
    <row r="559" spans="7:7" ht="15.75" customHeight="1">
      <c r="G559" s="16"/>
    </row>
    <row r="560" spans="7:7" ht="15.75" customHeight="1">
      <c r="G560" s="16"/>
    </row>
    <row r="561" spans="7:7" ht="15.75" customHeight="1">
      <c r="G561" s="16"/>
    </row>
    <row r="562" spans="7:7" ht="15.75" customHeight="1">
      <c r="G562" s="16"/>
    </row>
    <row r="563" spans="7:7" ht="15.75" customHeight="1">
      <c r="G563" s="16"/>
    </row>
    <row r="564" spans="7:7" ht="15.75" customHeight="1">
      <c r="G564" s="16"/>
    </row>
    <row r="565" spans="7:7" ht="15.75" customHeight="1">
      <c r="G565" s="16"/>
    </row>
    <row r="566" spans="7:7" ht="15.75" customHeight="1">
      <c r="G566" s="16"/>
    </row>
    <row r="567" spans="7:7" ht="15.75" customHeight="1">
      <c r="G567" s="16"/>
    </row>
    <row r="568" spans="7:7" ht="15.75" customHeight="1">
      <c r="G568" s="16"/>
    </row>
    <row r="569" spans="7:7" ht="15.75" customHeight="1">
      <c r="G569" s="16"/>
    </row>
    <row r="570" spans="7:7" ht="15.75" customHeight="1">
      <c r="G570" s="16"/>
    </row>
    <row r="571" spans="7:7" ht="15.75" customHeight="1">
      <c r="G571" s="16"/>
    </row>
    <row r="572" spans="7:7" ht="15.75" customHeight="1">
      <c r="G572" s="16"/>
    </row>
    <row r="573" spans="7:7" ht="15.75" customHeight="1">
      <c r="G573" s="16"/>
    </row>
    <row r="574" spans="7:7" ht="15.75" customHeight="1">
      <c r="G574" s="16"/>
    </row>
    <row r="575" spans="7:7" ht="15.75" customHeight="1">
      <c r="G575" s="16"/>
    </row>
    <row r="576" spans="7:7" ht="15.75" customHeight="1">
      <c r="G576" s="16"/>
    </row>
    <row r="577" spans="7:7" ht="15.75" customHeight="1">
      <c r="G577" s="16"/>
    </row>
    <row r="578" spans="7:7" ht="15.75" customHeight="1">
      <c r="G578" s="16"/>
    </row>
    <row r="579" spans="7:7" ht="15.75" customHeight="1">
      <c r="G579" s="16"/>
    </row>
    <row r="580" spans="7:7" ht="15.75" customHeight="1">
      <c r="G580" s="16"/>
    </row>
    <row r="581" spans="7:7" ht="15.75" customHeight="1">
      <c r="G581" s="16"/>
    </row>
    <row r="582" spans="7:7" ht="15.75" customHeight="1">
      <c r="G582" s="16"/>
    </row>
    <row r="583" spans="7:7" ht="15.75" customHeight="1">
      <c r="G583" s="16"/>
    </row>
    <row r="584" spans="7:7" ht="15.75" customHeight="1">
      <c r="G584" s="16"/>
    </row>
    <row r="585" spans="7:7" ht="15.75" customHeight="1">
      <c r="G585" s="16"/>
    </row>
    <row r="586" spans="7:7" ht="15.75" customHeight="1">
      <c r="G586" s="16"/>
    </row>
    <row r="587" spans="7:7" ht="15.75" customHeight="1">
      <c r="G587" s="16"/>
    </row>
    <row r="588" spans="7:7" ht="15.75" customHeight="1">
      <c r="G588" s="16"/>
    </row>
    <row r="589" spans="7:7" ht="15.75" customHeight="1">
      <c r="G589" s="16"/>
    </row>
    <row r="590" spans="7:7" ht="15.75" customHeight="1">
      <c r="G590" s="16"/>
    </row>
    <row r="591" spans="7:7" ht="15.75" customHeight="1">
      <c r="G591" s="16"/>
    </row>
    <row r="592" spans="7:7" ht="15.75" customHeight="1">
      <c r="G592" s="16"/>
    </row>
    <row r="593" spans="7:7" ht="15.75" customHeight="1">
      <c r="G593" s="16"/>
    </row>
    <row r="594" spans="7:7" ht="15.75" customHeight="1">
      <c r="G594" s="16"/>
    </row>
    <row r="595" spans="7:7" ht="15.75" customHeight="1">
      <c r="G595" s="16"/>
    </row>
    <row r="596" spans="7:7" ht="15.75" customHeight="1">
      <c r="G596" s="16"/>
    </row>
    <row r="597" spans="7:7" ht="15.75" customHeight="1">
      <c r="G597" s="16"/>
    </row>
    <row r="598" spans="7:7" ht="15.75" customHeight="1">
      <c r="G598" s="16"/>
    </row>
    <row r="599" spans="7:7" ht="15.75" customHeight="1">
      <c r="G599" s="16"/>
    </row>
    <row r="600" spans="7:7" ht="15.75" customHeight="1">
      <c r="G600" s="16"/>
    </row>
    <row r="601" spans="7:7" ht="15.75" customHeight="1">
      <c r="G601" s="16"/>
    </row>
    <row r="602" spans="7:7" ht="15.75" customHeight="1">
      <c r="G602" s="16"/>
    </row>
    <row r="603" spans="7:7" ht="15.75" customHeight="1">
      <c r="G603" s="16"/>
    </row>
    <row r="604" spans="7:7" ht="15.75" customHeight="1">
      <c r="G604" s="16"/>
    </row>
    <row r="605" spans="7:7" ht="15.75" customHeight="1">
      <c r="G605" s="16"/>
    </row>
    <row r="606" spans="7:7" ht="15.75" customHeight="1">
      <c r="G606" s="16"/>
    </row>
    <row r="607" spans="7:7" ht="15.75" customHeight="1">
      <c r="G607" s="16"/>
    </row>
    <row r="608" spans="7:7" ht="15.75" customHeight="1">
      <c r="G608" s="16"/>
    </row>
    <row r="609" spans="7:7" ht="15.75" customHeight="1">
      <c r="G609" s="16"/>
    </row>
    <row r="610" spans="7:7" ht="15.75" customHeight="1">
      <c r="G610" s="16"/>
    </row>
    <row r="611" spans="7:7" ht="15.75" customHeight="1">
      <c r="G611" s="16"/>
    </row>
    <row r="612" spans="7:7" ht="15.75" customHeight="1">
      <c r="G612" s="16"/>
    </row>
    <row r="613" spans="7:7" ht="15.75" customHeight="1">
      <c r="G613" s="16"/>
    </row>
    <row r="614" spans="7:7" ht="15.75" customHeight="1">
      <c r="G614" s="16"/>
    </row>
    <row r="615" spans="7:7" ht="15.75" customHeight="1">
      <c r="G615" s="16"/>
    </row>
    <row r="616" spans="7:7" ht="15.75" customHeight="1">
      <c r="G616" s="16"/>
    </row>
    <row r="617" spans="7:7" ht="15.75" customHeight="1">
      <c r="G617" s="16"/>
    </row>
    <row r="618" spans="7:7" ht="15.75" customHeight="1">
      <c r="G618" s="16"/>
    </row>
    <row r="619" spans="7:7" ht="15.75" customHeight="1">
      <c r="G619" s="16"/>
    </row>
    <row r="620" spans="7:7" ht="15.75" customHeight="1">
      <c r="G620" s="16"/>
    </row>
    <row r="621" spans="7:7" ht="15.75" customHeight="1">
      <c r="G621" s="16"/>
    </row>
    <row r="622" spans="7:7" ht="15.75" customHeight="1">
      <c r="G622" s="16"/>
    </row>
    <row r="623" spans="7:7" ht="15.75" customHeight="1">
      <c r="G623" s="16"/>
    </row>
    <row r="624" spans="7:7" ht="15.75" customHeight="1">
      <c r="G624" s="16"/>
    </row>
    <row r="625" spans="7:7" ht="15.75" customHeight="1">
      <c r="G625" s="16"/>
    </row>
    <row r="626" spans="7:7" ht="15.75" customHeight="1">
      <c r="G626" s="16"/>
    </row>
    <row r="627" spans="7:7" ht="15.75" customHeight="1">
      <c r="G627" s="16"/>
    </row>
    <row r="628" spans="7:7" ht="15.75" customHeight="1">
      <c r="G628" s="16"/>
    </row>
    <row r="629" spans="7:7" ht="15.75" customHeight="1">
      <c r="G629" s="16"/>
    </row>
    <row r="630" spans="7:7" ht="15.75" customHeight="1">
      <c r="G630" s="16"/>
    </row>
    <row r="631" spans="7:7" ht="15.75" customHeight="1">
      <c r="G631" s="16"/>
    </row>
    <row r="632" spans="7:7" ht="15.75" customHeight="1">
      <c r="G632" s="16"/>
    </row>
    <row r="633" spans="7:7" ht="15.75" customHeight="1">
      <c r="G633" s="16"/>
    </row>
    <row r="634" spans="7:7" ht="15.75" customHeight="1">
      <c r="G634" s="16"/>
    </row>
    <row r="635" spans="7:7" ht="15.75" customHeight="1">
      <c r="G635" s="16"/>
    </row>
    <row r="636" spans="7:7" ht="15.75" customHeight="1">
      <c r="G636" s="16"/>
    </row>
    <row r="637" spans="7:7" ht="15.75" customHeight="1">
      <c r="G637" s="16"/>
    </row>
    <row r="638" spans="7:7" ht="15.75" customHeight="1">
      <c r="G638" s="16"/>
    </row>
    <row r="639" spans="7:7" ht="15.75" customHeight="1">
      <c r="G639" s="16"/>
    </row>
    <row r="640" spans="7:7" ht="15.75" customHeight="1">
      <c r="G640" s="16"/>
    </row>
    <row r="641" spans="7:7" ht="15.75" customHeight="1">
      <c r="G641" s="16"/>
    </row>
    <row r="642" spans="7:7" ht="15.75" customHeight="1">
      <c r="G642" s="16"/>
    </row>
    <row r="643" spans="7:7" ht="15.75" customHeight="1">
      <c r="G643" s="16"/>
    </row>
    <row r="644" spans="7:7" ht="15.75" customHeight="1">
      <c r="G644" s="16"/>
    </row>
    <row r="645" spans="7:7" ht="15.75" customHeight="1">
      <c r="G645" s="16"/>
    </row>
    <row r="646" spans="7:7" ht="15.75" customHeight="1">
      <c r="G646" s="16"/>
    </row>
    <row r="647" spans="7:7" ht="15.75" customHeight="1">
      <c r="G647" s="16"/>
    </row>
    <row r="648" spans="7:7" ht="15.75" customHeight="1">
      <c r="G648" s="16"/>
    </row>
    <row r="649" spans="7:7" ht="15.75" customHeight="1">
      <c r="G649" s="16"/>
    </row>
    <row r="650" spans="7:7" ht="15.75" customHeight="1">
      <c r="G650" s="16"/>
    </row>
    <row r="651" spans="7:7" ht="15.75" customHeight="1">
      <c r="G651" s="16"/>
    </row>
    <row r="652" spans="7:7" ht="15.75" customHeight="1">
      <c r="G652" s="16"/>
    </row>
    <row r="653" spans="7:7" ht="15.75" customHeight="1">
      <c r="G653" s="16"/>
    </row>
    <row r="654" spans="7:7" ht="15.75" customHeight="1">
      <c r="G654" s="16"/>
    </row>
    <row r="655" spans="7:7" ht="15.75" customHeight="1">
      <c r="G655" s="16"/>
    </row>
    <row r="656" spans="7:7" ht="15.75" customHeight="1">
      <c r="G656" s="16"/>
    </row>
    <row r="657" spans="7:7" ht="15.75" customHeight="1">
      <c r="G657" s="16"/>
    </row>
    <row r="658" spans="7:7" ht="15.75" customHeight="1">
      <c r="G658" s="16"/>
    </row>
    <row r="659" spans="7:7" ht="15.75" customHeight="1">
      <c r="G659" s="16"/>
    </row>
    <row r="660" spans="7:7" ht="15.75" customHeight="1">
      <c r="G660" s="16"/>
    </row>
    <row r="661" spans="7:7" ht="15.75" customHeight="1">
      <c r="G661" s="16"/>
    </row>
    <row r="662" spans="7:7" ht="15.75" customHeight="1">
      <c r="G662" s="16"/>
    </row>
    <row r="663" spans="7:7" ht="15.75" customHeight="1">
      <c r="G663" s="16"/>
    </row>
    <row r="664" spans="7:7" ht="15.75" customHeight="1">
      <c r="G664" s="16"/>
    </row>
    <row r="665" spans="7:7" ht="15.75" customHeight="1">
      <c r="G665" s="16"/>
    </row>
    <row r="666" spans="7:7" ht="15.75" customHeight="1">
      <c r="G666" s="16"/>
    </row>
    <row r="667" spans="7:7" ht="15.75" customHeight="1">
      <c r="G667" s="16"/>
    </row>
    <row r="668" spans="7:7" ht="15.75" customHeight="1">
      <c r="G668" s="16"/>
    </row>
    <row r="669" spans="7:7" ht="15.75" customHeight="1">
      <c r="G669" s="16"/>
    </row>
    <row r="670" spans="7:7" ht="15.75" customHeight="1">
      <c r="G670" s="16"/>
    </row>
    <row r="671" spans="7:7" ht="15.75" customHeight="1">
      <c r="G671" s="16"/>
    </row>
    <row r="672" spans="7:7" ht="15.75" customHeight="1">
      <c r="G672" s="16"/>
    </row>
    <row r="673" spans="7:7" ht="15.75" customHeight="1">
      <c r="G673" s="16"/>
    </row>
    <row r="674" spans="7:7" ht="15.75" customHeight="1">
      <c r="G674" s="16"/>
    </row>
    <row r="675" spans="7:7" ht="15.75" customHeight="1">
      <c r="G675" s="16"/>
    </row>
    <row r="676" spans="7:7" ht="15.75" customHeight="1">
      <c r="G676" s="16"/>
    </row>
    <row r="677" spans="7:7" ht="15.75" customHeight="1">
      <c r="G677" s="16"/>
    </row>
    <row r="678" spans="7:7" ht="15.75" customHeight="1">
      <c r="G678" s="16"/>
    </row>
    <row r="679" spans="7:7" ht="15.75" customHeight="1">
      <c r="G679" s="16"/>
    </row>
    <row r="680" spans="7:7" ht="15.75" customHeight="1">
      <c r="G680" s="16"/>
    </row>
    <row r="681" spans="7:7" ht="15.75" customHeight="1">
      <c r="G681" s="16"/>
    </row>
    <row r="682" spans="7:7" ht="15.75" customHeight="1">
      <c r="G682" s="16"/>
    </row>
    <row r="683" spans="7:7" ht="15.75" customHeight="1">
      <c r="G683" s="16"/>
    </row>
    <row r="684" spans="7:7" ht="15.75" customHeight="1">
      <c r="G684" s="16"/>
    </row>
    <row r="685" spans="7:7" ht="15.75" customHeight="1">
      <c r="G685" s="16"/>
    </row>
    <row r="686" spans="7:7" ht="15.75" customHeight="1">
      <c r="G686" s="16"/>
    </row>
    <row r="687" spans="7:7" ht="15.75" customHeight="1">
      <c r="G687" s="16"/>
    </row>
    <row r="688" spans="7:7" ht="15.75" customHeight="1">
      <c r="G688" s="16"/>
    </row>
    <row r="689" spans="7:7" ht="15.75" customHeight="1">
      <c r="G689" s="16"/>
    </row>
    <row r="690" spans="7:7" ht="15.75" customHeight="1">
      <c r="G690" s="16"/>
    </row>
    <row r="691" spans="7:7" ht="15.75" customHeight="1">
      <c r="G691" s="16"/>
    </row>
    <row r="692" spans="7:7" ht="15.75" customHeight="1">
      <c r="G692" s="16"/>
    </row>
    <row r="693" spans="7:7" ht="15.75" customHeight="1">
      <c r="G693" s="16"/>
    </row>
    <row r="694" spans="7:7" ht="15.75" customHeight="1">
      <c r="G694" s="16"/>
    </row>
    <row r="695" spans="7:7" ht="15.75" customHeight="1">
      <c r="G695" s="16"/>
    </row>
    <row r="696" spans="7:7" ht="15.75" customHeight="1">
      <c r="G696" s="16"/>
    </row>
    <row r="697" spans="7:7" ht="15.75" customHeight="1">
      <c r="G697" s="16"/>
    </row>
    <row r="698" spans="7:7" ht="15.75" customHeight="1">
      <c r="G698" s="16"/>
    </row>
    <row r="699" spans="7:7" ht="15.75" customHeight="1">
      <c r="G699" s="16"/>
    </row>
    <row r="700" spans="7:7" ht="15.75" customHeight="1">
      <c r="G700" s="16"/>
    </row>
    <row r="701" spans="7:7" ht="15.75" customHeight="1">
      <c r="G701" s="16"/>
    </row>
    <row r="702" spans="7:7" ht="15.75" customHeight="1">
      <c r="G702" s="16"/>
    </row>
    <row r="703" spans="7:7" ht="15.75" customHeight="1">
      <c r="G703" s="16"/>
    </row>
    <row r="704" spans="7:7" ht="15.75" customHeight="1">
      <c r="G704" s="16"/>
    </row>
    <row r="705" spans="7:7" ht="15.75" customHeight="1">
      <c r="G705" s="16"/>
    </row>
    <row r="706" spans="7:7" ht="15.75" customHeight="1">
      <c r="G706" s="16"/>
    </row>
    <row r="707" spans="7:7" ht="15.75" customHeight="1">
      <c r="G707" s="16"/>
    </row>
    <row r="708" spans="7:7" ht="15.75" customHeight="1">
      <c r="G708" s="16"/>
    </row>
    <row r="709" spans="7:7" ht="15.75" customHeight="1">
      <c r="G709" s="16"/>
    </row>
    <row r="710" spans="7:7" ht="15.75" customHeight="1">
      <c r="G710" s="16"/>
    </row>
    <row r="711" spans="7:7" ht="15.75" customHeight="1">
      <c r="G711" s="16"/>
    </row>
    <row r="712" spans="7:7" ht="15.75" customHeight="1">
      <c r="G712" s="16"/>
    </row>
    <row r="713" spans="7:7" ht="15.75" customHeight="1">
      <c r="G713" s="16"/>
    </row>
    <row r="714" spans="7:7" ht="15.75" customHeight="1">
      <c r="G714" s="16"/>
    </row>
    <row r="715" spans="7:7" ht="15.75" customHeight="1">
      <c r="G715" s="16"/>
    </row>
    <row r="716" spans="7:7" ht="15.75" customHeight="1">
      <c r="G716" s="16"/>
    </row>
    <row r="717" spans="7:7" ht="15.75" customHeight="1">
      <c r="G717" s="16"/>
    </row>
    <row r="718" spans="7:7" ht="15.75" customHeight="1">
      <c r="G718" s="16"/>
    </row>
    <row r="719" spans="7:7" ht="15.75" customHeight="1">
      <c r="G719" s="16"/>
    </row>
    <row r="720" spans="7:7" ht="15.75" customHeight="1">
      <c r="G720" s="16"/>
    </row>
    <row r="721" spans="7:7" ht="15.75" customHeight="1">
      <c r="G721" s="16"/>
    </row>
    <row r="722" spans="7:7" ht="15.75" customHeight="1">
      <c r="G722" s="16"/>
    </row>
    <row r="723" spans="7:7" ht="15.75" customHeight="1">
      <c r="G723" s="16"/>
    </row>
    <row r="724" spans="7:7" ht="15.75" customHeight="1">
      <c r="G724" s="16"/>
    </row>
    <row r="725" spans="7:7" ht="15.75" customHeight="1">
      <c r="G725" s="16"/>
    </row>
    <row r="726" spans="7:7" ht="15.75" customHeight="1">
      <c r="G726" s="16"/>
    </row>
    <row r="727" spans="7:7" ht="15.75" customHeight="1">
      <c r="G727" s="16"/>
    </row>
    <row r="728" spans="7:7" ht="15.75" customHeight="1">
      <c r="G728" s="16"/>
    </row>
    <row r="729" spans="7:7" ht="15.75" customHeight="1">
      <c r="G729" s="16"/>
    </row>
    <row r="730" spans="7:7" ht="15.75" customHeight="1">
      <c r="G730" s="16"/>
    </row>
    <row r="731" spans="7:7" ht="15.75" customHeight="1">
      <c r="G731" s="16"/>
    </row>
    <row r="732" spans="7:7" ht="15.75" customHeight="1">
      <c r="G732" s="16"/>
    </row>
    <row r="733" spans="7:7" ht="15.75" customHeight="1">
      <c r="G733" s="16"/>
    </row>
    <row r="734" spans="7:7" ht="15.75" customHeight="1">
      <c r="G734" s="16"/>
    </row>
    <row r="735" spans="7:7" ht="15.75" customHeight="1">
      <c r="G735" s="16"/>
    </row>
    <row r="736" spans="7:7" ht="15.75" customHeight="1">
      <c r="G736" s="16"/>
    </row>
    <row r="737" spans="7:7" ht="15.75" customHeight="1">
      <c r="G737" s="16"/>
    </row>
    <row r="738" spans="7:7" ht="15.75" customHeight="1">
      <c r="G738" s="16"/>
    </row>
    <row r="739" spans="7:7" ht="15.75" customHeight="1">
      <c r="G739" s="16"/>
    </row>
    <row r="740" spans="7:7" ht="15.75" customHeight="1">
      <c r="G740" s="16"/>
    </row>
    <row r="741" spans="7:7" ht="15.75" customHeight="1">
      <c r="G741" s="16"/>
    </row>
    <row r="742" spans="7:7" ht="15.75" customHeight="1">
      <c r="G742" s="16"/>
    </row>
    <row r="743" spans="7:7" ht="15.75" customHeight="1">
      <c r="G743" s="16"/>
    </row>
    <row r="744" spans="7:7" ht="15.75" customHeight="1">
      <c r="G744" s="16"/>
    </row>
    <row r="745" spans="7:7" ht="15.75" customHeight="1">
      <c r="G745" s="16"/>
    </row>
    <row r="746" spans="7:7" ht="15.75" customHeight="1">
      <c r="G746" s="16"/>
    </row>
    <row r="747" spans="7:7" ht="15.75" customHeight="1">
      <c r="G747" s="16"/>
    </row>
    <row r="748" spans="7:7" ht="15.75" customHeight="1">
      <c r="G748" s="16"/>
    </row>
    <row r="749" spans="7:7" ht="15.75" customHeight="1">
      <c r="G749" s="16"/>
    </row>
    <row r="750" spans="7:7" ht="15.75" customHeight="1">
      <c r="G750" s="16"/>
    </row>
    <row r="751" spans="7:7" ht="15.75" customHeight="1">
      <c r="G751" s="16"/>
    </row>
    <row r="752" spans="7:7" ht="15.75" customHeight="1">
      <c r="G752" s="16"/>
    </row>
    <row r="753" spans="7:7" ht="15.75" customHeight="1">
      <c r="G753" s="16"/>
    </row>
    <row r="754" spans="7:7" ht="15.75" customHeight="1">
      <c r="G754" s="16"/>
    </row>
    <row r="755" spans="7:7" ht="15.75" customHeight="1">
      <c r="G755" s="16"/>
    </row>
    <row r="756" spans="7:7" ht="15.75" customHeight="1">
      <c r="G756" s="16"/>
    </row>
    <row r="757" spans="7:7" ht="15.75" customHeight="1">
      <c r="G757" s="16"/>
    </row>
    <row r="758" spans="7:7" ht="15.75" customHeight="1">
      <c r="G758" s="16"/>
    </row>
    <row r="759" spans="7:7" ht="15.75" customHeight="1">
      <c r="G759" s="16"/>
    </row>
    <row r="760" spans="7:7" ht="15.75" customHeight="1">
      <c r="G760" s="16"/>
    </row>
    <row r="761" spans="7:7" ht="15.75" customHeight="1">
      <c r="G761" s="16"/>
    </row>
    <row r="762" spans="7:7" ht="15.75" customHeight="1">
      <c r="G762" s="16"/>
    </row>
    <row r="763" spans="7:7" ht="15.75" customHeight="1">
      <c r="G763" s="16"/>
    </row>
    <row r="764" spans="7:7" ht="15.75" customHeight="1">
      <c r="G764" s="16"/>
    </row>
    <row r="765" spans="7:7" ht="15.75" customHeight="1">
      <c r="G765" s="16"/>
    </row>
    <row r="766" spans="7:7" ht="15.75" customHeight="1">
      <c r="G766" s="16"/>
    </row>
    <row r="767" spans="7:7" ht="15.75" customHeight="1">
      <c r="G767" s="16"/>
    </row>
    <row r="768" spans="7:7" ht="15.75" customHeight="1">
      <c r="G768" s="16"/>
    </row>
    <row r="769" spans="7:7" ht="15.75" customHeight="1">
      <c r="G769" s="16"/>
    </row>
    <row r="770" spans="7:7" ht="15.75" customHeight="1">
      <c r="G770" s="16"/>
    </row>
    <row r="771" spans="7:7" ht="15.75" customHeight="1">
      <c r="G771" s="16"/>
    </row>
    <row r="772" spans="7:7" ht="15.75" customHeight="1">
      <c r="G772" s="16"/>
    </row>
    <row r="773" spans="7:7" ht="15.75" customHeight="1">
      <c r="G773" s="16"/>
    </row>
    <row r="774" spans="7:7" ht="15.75" customHeight="1">
      <c r="G774" s="16"/>
    </row>
    <row r="775" spans="7:7" ht="15.75" customHeight="1">
      <c r="G775" s="16"/>
    </row>
    <row r="776" spans="7:7" ht="15.75" customHeight="1">
      <c r="G776" s="16"/>
    </row>
    <row r="777" spans="7:7" ht="15.75" customHeight="1">
      <c r="G777" s="16"/>
    </row>
    <row r="778" spans="7:7" ht="15.75" customHeight="1">
      <c r="G778" s="16"/>
    </row>
    <row r="779" spans="7:7" ht="15.75" customHeight="1">
      <c r="G779" s="16"/>
    </row>
    <row r="780" spans="7:7" ht="15.75" customHeight="1">
      <c r="G780" s="16"/>
    </row>
    <row r="781" spans="7:7" ht="15.75" customHeight="1">
      <c r="G781" s="16"/>
    </row>
    <row r="782" spans="7:7" ht="15.75" customHeight="1">
      <c r="G782" s="16"/>
    </row>
    <row r="783" spans="7:7" ht="15.75" customHeight="1">
      <c r="G783" s="16"/>
    </row>
    <row r="784" spans="7:7" ht="15.75" customHeight="1">
      <c r="G784" s="16"/>
    </row>
    <row r="785" spans="7:7" ht="15.75" customHeight="1">
      <c r="G785" s="16"/>
    </row>
    <row r="786" spans="7:7" ht="15.75" customHeight="1">
      <c r="G786" s="16"/>
    </row>
    <row r="787" spans="7:7" ht="15.75" customHeight="1">
      <c r="G787" s="16"/>
    </row>
    <row r="788" spans="7:7" ht="15.75" customHeight="1">
      <c r="G788" s="16"/>
    </row>
    <row r="789" spans="7:7" ht="15.75" customHeight="1">
      <c r="G789" s="16"/>
    </row>
    <row r="790" spans="7:7" ht="15.75" customHeight="1">
      <c r="G790" s="16"/>
    </row>
    <row r="791" spans="7:7" ht="15.75" customHeight="1">
      <c r="G791" s="16"/>
    </row>
    <row r="792" spans="7:7" ht="15.75" customHeight="1">
      <c r="G792" s="16"/>
    </row>
    <row r="793" spans="7:7" ht="15.75" customHeight="1">
      <c r="G793" s="16"/>
    </row>
    <row r="794" spans="7:7" ht="15.75" customHeight="1">
      <c r="G794" s="16"/>
    </row>
    <row r="795" spans="7:7" ht="15.75" customHeight="1">
      <c r="G795" s="16"/>
    </row>
    <row r="796" spans="7:7" ht="15.75" customHeight="1">
      <c r="G796" s="16"/>
    </row>
    <row r="797" spans="7:7" ht="15.75" customHeight="1">
      <c r="G797" s="16"/>
    </row>
    <row r="798" spans="7:7" ht="15.75" customHeight="1">
      <c r="G798" s="16"/>
    </row>
    <row r="799" spans="7:7" ht="15.75" customHeight="1">
      <c r="G799" s="16"/>
    </row>
    <row r="800" spans="7:7" ht="15.75" customHeight="1">
      <c r="G800" s="16"/>
    </row>
    <row r="801" spans="7:7" ht="15.75" customHeight="1">
      <c r="G801" s="16"/>
    </row>
    <row r="802" spans="7:7" ht="15.75" customHeight="1">
      <c r="G802" s="16"/>
    </row>
    <row r="803" spans="7:7" ht="15.75" customHeight="1">
      <c r="G803" s="16"/>
    </row>
    <row r="804" spans="7:7" ht="15.75" customHeight="1">
      <c r="G804" s="16"/>
    </row>
    <row r="805" spans="7:7" ht="15.75" customHeight="1">
      <c r="G805" s="16"/>
    </row>
    <row r="806" spans="7:7" ht="15.75" customHeight="1">
      <c r="G806" s="16"/>
    </row>
    <row r="807" spans="7:7" ht="15.75" customHeight="1">
      <c r="G807" s="16"/>
    </row>
    <row r="808" spans="7:7" ht="15.75" customHeight="1">
      <c r="G808" s="16"/>
    </row>
    <row r="809" spans="7:7" ht="15.75" customHeight="1">
      <c r="G809" s="16"/>
    </row>
    <row r="810" spans="7:7" ht="15.75" customHeight="1">
      <c r="G810" s="16"/>
    </row>
    <row r="811" spans="7:7" ht="15.75" customHeight="1">
      <c r="G811" s="16"/>
    </row>
    <row r="812" spans="7:7" ht="15.75" customHeight="1">
      <c r="G812" s="16"/>
    </row>
    <row r="813" spans="7:7" ht="15.75" customHeight="1">
      <c r="G813" s="16"/>
    </row>
    <row r="814" spans="7:7" ht="15.75" customHeight="1">
      <c r="G814" s="16"/>
    </row>
    <row r="815" spans="7:7" ht="15.75" customHeight="1">
      <c r="G815" s="16"/>
    </row>
    <row r="816" spans="7:7" ht="15.75" customHeight="1">
      <c r="G816" s="16"/>
    </row>
    <row r="817" spans="7:7" ht="15.75" customHeight="1">
      <c r="G817" s="16"/>
    </row>
    <row r="818" spans="7:7" ht="15.75" customHeight="1">
      <c r="G818" s="16"/>
    </row>
    <row r="819" spans="7:7" ht="15.75" customHeight="1">
      <c r="G819" s="16"/>
    </row>
    <row r="820" spans="7:7" ht="15.75" customHeight="1">
      <c r="G820" s="16"/>
    </row>
    <row r="821" spans="7:7" ht="15.75" customHeight="1">
      <c r="G821" s="16"/>
    </row>
    <row r="822" spans="7:7" ht="15.75" customHeight="1">
      <c r="G822" s="16"/>
    </row>
    <row r="823" spans="7:7" ht="15.75" customHeight="1">
      <c r="G823" s="16"/>
    </row>
    <row r="824" spans="7:7" ht="15.75" customHeight="1">
      <c r="G824" s="16"/>
    </row>
    <row r="825" spans="7:7" ht="15.75" customHeight="1">
      <c r="G825" s="16"/>
    </row>
    <row r="826" spans="7:7" ht="15.75" customHeight="1">
      <c r="G826" s="16"/>
    </row>
    <row r="827" spans="7:7" ht="15.75" customHeight="1">
      <c r="G827" s="16"/>
    </row>
    <row r="828" spans="7:7" ht="15.75" customHeight="1">
      <c r="G828" s="16"/>
    </row>
    <row r="829" spans="7:7" ht="15.75" customHeight="1">
      <c r="G829" s="16"/>
    </row>
    <row r="830" spans="7:7" ht="15.75" customHeight="1">
      <c r="G830" s="16"/>
    </row>
    <row r="831" spans="7:7" ht="15.75" customHeight="1">
      <c r="G831" s="16"/>
    </row>
    <row r="832" spans="7:7" ht="15.75" customHeight="1">
      <c r="G832" s="16"/>
    </row>
    <row r="833" spans="7:7" ht="15.75" customHeight="1">
      <c r="G833" s="16"/>
    </row>
    <row r="834" spans="7:7" ht="15.75" customHeight="1">
      <c r="G834" s="16"/>
    </row>
    <row r="835" spans="7:7" ht="15.75" customHeight="1">
      <c r="G835" s="16"/>
    </row>
    <row r="836" spans="7:7" ht="15.75" customHeight="1">
      <c r="G836" s="16"/>
    </row>
    <row r="837" spans="7:7" ht="15.75" customHeight="1">
      <c r="G837" s="16"/>
    </row>
    <row r="838" spans="7:7" ht="15.75" customHeight="1">
      <c r="G838" s="16"/>
    </row>
    <row r="839" spans="7:7" ht="15.75" customHeight="1">
      <c r="G839" s="16"/>
    </row>
    <row r="840" spans="7:7" ht="15.75" customHeight="1">
      <c r="G840" s="16"/>
    </row>
    <row r="841" spans="7:7" ht="15.75" customHeight="1">
      <c r="G841" s="16"/>
    </row>
    <row r="842" spans="7:7" ht="15.75" customHeight="1">
      <c r="G842" s="16"/>
    </row>
    <row r="843" spans="7:7" ht="15.75" customHeight="1">
      <c r="G843" s="16"/>
    </row>
    <row r="844" spans="7:7" ht="15.75" customHeight="1">
      <c r="G844" s="16"/>
    </row>
    <row r="845" spans="7:7" ht="15.75" customHeight="1">
      <c r="G845" s="16"/>
    </row>
    <row r="846" spans="7:7" ht="15.75" customHeight="1">
      <c r="G846" s="16"/>
    </row>
    <row r="847" spans="7:7" ht="15.75" customHeight="1">
      <c r="G847" s="16"/>
    </row>
    <row r="848" spans="7:7" ht="15.75" customHeight="1">
      <c r="G848" s="16"/>
    </row>
    <row r="849" spans="7:7" ht="15.75" customHeight="1">
      <c r="G849" s="16"/>
    </row>
    <row r="850" spans="7:7" ht="15.75" customHeight="1">
      <c r="G850" s="16"/>
    </row>
    <row r="851" spans="7:7" ht="15.75" customHeight="1">
      <c r="G851" s="16"/>
    </row>
    <row r="852" spans="7:7" ht="15.75" customHeight="1">
      <c r="G852" s="16"/>
    </row>
    <row r="853" spans="7:7" ht="15.75" customHeight="1">
      <c r="G853" s="16"/>
    </row>
    <row r="854" spans="7:7" ht="15.75" customHeight="1">
      <c r="G854" s="16"/>
    </row>
    <row r="855" spans="7:7" ht="15.75" customHeight="1">
      <c r="G855" s="16"/>
    </row>
    <row r="856" spans="7:7" ht="15.75" customHeight="1">
      <c r="G856" s="16"/>
    </row>
    <row r="857" spans="7:7" ht="15.75" customHeight="1">
      <c r="G857" s="16"/>
    </row>
    <row r="858" spans="7:7" ht="15.75" customHeight="1">
      <c r="G858" s="16"/>
    </row>
    <row r="859" spans="7:7" ht="15.75" customHeight="1">
      <c r="G859" s="16"/>
    </row>
    <row r="860" spans="7:7" ht="15.75" customHeight="1">
      <c r="G860" s="16"/>
    </row>
    <row r="861" spans="7:7" ht="15.75" customHeight="1">
      <c r="G861" s="16"/>
    </row>
    <row r="862" spans="7:7" ht="15.75" customHeight="1">
      <c r="G862" s="16"/>
    </row>
    <row r="863" spans="7:7" ht="15.75" customHeight="1">
      <c r="G863" s="16"/>
    </row>
    <row r="864" spans="7:7" ht="15.75" customHeight="1">
      <c r="G864" s="16"/>
    </row>
    <row r="865" spans="7:7" ht="15.75" customHeight="1">
      <c r="G865" s="16"/>
    </row>
    <row r="866" spans="7:7" ht="15.75" customHeight="1">
      <c r="G866" s="16"/>
    </row>
    <row r="867" spans="7:7" ht="15.75" customHeight="1">
      <c r="G867" s="16"/>
    </row>
    <row r="868" spans="7:7" ht="15.75" customHeight="1">
      <c r="G868" s="16"/>
    </row>
    <row r="869" spans="7:7" ht="15.75" customHeight="1">
      <c r="G869" s="16"/>
    </row>
    <row r="870" spans="7:7" ht="15.75" customHeight="1">
      <c r="G870" s="16"/>
    </row>
    <row r="871" spans="7:7" ht="15.75" customHeight="1">
      <c r="G871" s="16"/>
    </row>
    <row r="872" spans="7:7" ht="15.75" customHeight="1">
      <c r="G872" s="16"/>
    </row>
    <row r="873" spans="7:7" ht="15.75" customHeight="1">
      <c r="G873" s="16"/>
    </row>
    <row r="874" spans="7:7" ht="15.75" customHeight="1">
      <c r="G874" s="16"/>
    </row>
    <row r="875" spans="7:7" ht="15.75" customHeight="1">
      <c r="G875" s="16"/>
    </row>
    <row r="876" spans="7:7" ht="15.75" customHeight="1">
      <c r="G876" s="16"/>
    </row>
    <row r="877" spans="7:7" ht="15.75" customHeight="1">
      <c r="G877" s="16"/>
    </row>
    <row r="878" spans="7:7" ht="15.75" customHeight="1">
      <c r="G878" s="16"/>
    </row>
    <row r="879" spans="7:7" ht="15.75" customHeight="1">
      <c r="G879" s="16"/>
    </row>
    <row r="880" spans="7:7" ht="15.75" customHeight="1">
      <c r="G880" s="16"/>
    </row>
    <row r="881" spans="7:7" ht="15.75" customHeight="1">
      <c r="G881" s="16"/>
    </row>
    <row r="882" spans="7:7" ht="15.75" customHeight="1">
      <c r="G882" s="16"/>
    </row>
    <row r="883" spans="7:7" ht="15.75" customHeight="1">
      <c r="G883" s="16"/>
    </row>
    <row r="884" spans="7:7" ht="15.75" customHeight="1">
      <c r="G884" s="16"/>
    </row>
    <row r="885" spans="7:7" ht="15.75" customHeight="1">
      <c r="G885" s="16"/>
    </row>
    <row r="886" spans="7:7" ht="15.75" customHeight="1">
      <c r="G886" s="16"/>
    </row>
    <row r="887" spans="7:7" ht="15.75" customHeight="1">
      <c r="G887" s="16"/>
    </row>
    <row r="888" spans="7:7" ht="15.75" customHeight="1">
      <c r="G888" s="16"/>
    </row>
    <row r="889" spans="7:7" ht="15.75" customHeight="1">
      <c r="G889" s="16"/>
    </row>
    <row r="890" spans="7:7" ht="15.75" customHeight="1">
      <c r="G890" s="16"/>
    </row>
    <row r="891" spans="7:7" ht="15.75" customHeight="1">
      <c r="G891" s="16"/>
    </row>
    <row r="892" spans="7:7" ht="15.75" customHeight="1">
      <c r="G892" s="16"/>
    </row>
    <row r="893" spans="7:7" ht="15.75" customHeight="1">
      <c r="G893" s="16"/>
    </row>
    <row r="894" spans="7:7" ht="15.75" customHeight="1">
      <c r="G894" s="16"/>
    </row>
    <row r="895" spans="7:7" ht="15.75" customHeight="1">
      <c r="G895" s="16"/>
    </row>
    <row r="896" spans="7:7" ht="15.75" customHeight="1">
      <c r="G896" s="16"/>
    </row>
    <row r="897" spans="7:7" ht="15.75" customHeight="1">
      <c r="G897" s="16"/>
    </row>
    <row r="898" spans="7:7" ht="15.75" customHeight="1">
      <c r="G898" s="16"/>
    </row>
    <row r="899" spans="7:7" ht="15.75" customHeight="1">
      <c r="G899" s="16"/>
    </row>
    <row r="900" spans="7:7" ht="15.75" customHeight="1">
      <c r="G900" s="16"/>
    </row>
    <row r="901" spans="7:7" ht="15.75" customHeight="1">
      <c r="G901" s="16"/>
    </row>
    <row r="902" spans="7:7" ht="15.75" customHeight="1">
      <c r="G902" s="16"/>
    </row>
    <row r="903" spans="7:7" ht="15.75" customHeight="1">
      <c r="G903" s="16"/>
    </row>
    <row r="904" spans="7:7" ht="15.75" customHeight="1">
      <c r="G904" s="16"/>
    </row>
    <row r="905" spans="7:7" ht="15.75" customHeight="1">
      <c r="G905" s="16"/>
    </row>
    <row r="906" spans="7:7" ht="15.75" customHeight="1">
      <c r="G906" s="16"/>
    </row>
    <row r="907" spans="7:7" ht="15.75" customHeight="1">
      <c r="G907" s="16"/>
    </row>
    <row r="908" spans="7:7" ht="15.75" customHeight="1">
      <c r="G908" s="16"/>
    </row>
    <row r="909" spans="7:7" ht="15.75" customHeight="1">
      <c r="G909" s="16"/>
    </row>
    <row r="910" spans="7:7" ht="15.75" customHeight="1">
      <c r="G910" s="16"/>
    </row>
    <row r="911" spans="7:7" ht="15.75" customHeight="1">
      <c r="G911" s="16"/>
    </row>
    <row r="912" spans="7:7" ht="15.75" customHeight="1">
      <c r="G912" s="16"/>
    </row>
    <row r="913" spans="7:7" ht="15.75" customHeight="1">
      <c r="G913" s="16"/>
    </row>
    <row r="914" spans="7:7" ht="15.75" customHeight="1">
      <c r="G914" s="16"/>
    </row>
    <row r="915" spans="7:7" ht="15.75" customHeight="1">
      <c r="G915" s="16"/>
    </row>
    <row r="916" spans="7:7" ht="15.75" customHeight="1">
      <c r="G916" s="16"/>
    </row>
    <row r="917" spans="7:7" ht="15.75" customHeight="1">
      <c r="G917" s="16"/>
    </row>
    <row r="918" spans="7:7" ht="15.75" customHeight="1">
      <c r="G918" s="16"/>
    </row>
    <row r="919" spans="7:7" ht="15.75" customHeight="1">
      <c r="G919" s="16"/>
    </row>
    <row r="920" spans="7:7" ht="15.75" customHeight="1">
      <c r="G920" s="16"/>
    </row>
    <row r="921" spans="7:7" ht="15.75" customHeight="1">
      <c r="G921" s="16"/>
    </row>
    <row r="922" spans="7:7" ht="15.75" customHeight="1">
      <c r="G922" s="16"/>
    </row>
    <row r="923" spans="7:7" ht="15.75" customHeight="1">
      <c r="G923" s="16"/>
    </row>
    <row r="924" spans="7:7" ht="15.75" customHeight="1">
      <c r="G924" s="16"/>
    </row>
    <row r="925" spans="7:7" ht="15.75" customHeight="1">
      <c r="G925" s="16"/>
    </row>
    <row r="926" spans="7:7" ht="15.75" customHeight="1">
      <c r="G926" s="16"/>
    </row>
    <row r="927" spans="7:7" ht="15.75" customHeight="1">
      <c r="G927" s="16"/>
    </row>
    <row r="928" spans="7:7" ht="15.75" customHeight="1">
      <c r="G928" s="16"/>
    </row>
    <row r="929" spans="7:7" ht="15.75" customHeight="1">
      <c r="G929" s="16"/>
    </row>
    <row r="930" spans="7:7" ht="15.75" customHeight="1">
      <c r="G930" s="16"/>
    </row>
    <row r="931" spans="7:7" ht="15.75" customHeight="1">
      <c r="G931" s="16"/>
    </row>
    <row r="932" spans="7:7" ht="15.75" customHeight="1">
      <c r="G932" s="16"/>
    </row>
    <row r="933" spans="7:7" ht="15.75" customHeight="1">
      <c r="G933" s="16"/>
    </row>
    <row r="934" spans="7:7" ht="15.75" customHeight="1">
      <c r="G934" s="16"/>
    </row>
    <row r="935" spans="7:7" ht="15.75" customHeight="1">
      <c r="G935" s="16"/>
    </row>
    <row r="936" spans="7:7" ht="15.75" customHeight="1">
      <c r="G936" s="16"/>
    </row>
    <row r="937" spans="7:7" ht="15.75" customHeight="1">
      <c r="G937" s="16"/>
    </row>
    <row r="938" spans="7:7" ht="15.75" customHeight="1">
      <c r="G938" s="16"/>
    </row>
    <row r="939" spans="7:7" ht="15.75" customHeight="1">
      <c r="G939" s="16"/>
    </row>
    <row r="940" spans="7:7" ht="15.75" customHeight="1">
      <c r="G940" s="16"/>
    </row>
    <row r="941" spans="7:7" ht="15.75" customHeight="1">
      <c r="G941" s="16"/>
    </row>
    <row r="942" spans="7:7" ht="15.75" customHeight="1">
      <c r="G942" s="16"/>
    </row>
    <row r="943" spans="7:7" ht="15.75" customHeight="1">
      <c r="G943" s="16"/>
    </row>
    <row r="944" spans="7:7" ht="15.75" customHeight="1">
      <c r="G944" s="16"/>
    </row>
    <row r="945" spans="7:7" ht="15.75" customHeight="1">
      <c r="G945" s="16"/>
    </row>
    <row r="946" spans="7:7" ht="15.75" customHeight="1">
      <c r="G946" s="16"/>
    </row>
    <row r="947" spans="7:7" ht="15.75" customHeight="1">
      <c r="G947" s="16"/>
    </row>
    <row r="948" spans="7:7" ht="15.75" customHeight="1">
      <c r="G948" s="16"/>
    </row>
    <row r="949" spans="7:7" ht="15.75" customHeight="1">
      <c r="G949" s="16"/>
    </row>
    <row r="950" spans="7:7" ht="15.75" customHeight="1">
      <c r="G950" s="16"/>
    </row>
    <row r="951" spans="7:7" ht="15.75" customHeight="1">
      <c r="G951" s="16"/>
    </row>
    <row r="952" spans="7:7" ht="15.75" customHeight="1">
      <c r="G952" s="16"/>
    </row>
    <row r="953" spans="7:7" ht="15.75" customHeight="1">
      <c r="G953" s="16"/>
    </row>
    <row r="954" spans="7:7" ht="15.75" customHeight="1">
      <c r="G954" s="16"/>
    </row>
    <row r="955" spans="7:7" ht="15.75" customHeight="1">
      <c r="G955" s="16"/>
    </row>
    <row r="956" spans="7:7" ht="15.75" customHeight="1">
      <c r="G956" s="16"/>
    </row>
    <row r="957" spans="7:7" ht="15.75" customHeight="1">
      <c r="G957" s="16"/>
    </row>
    <row r="958" spans="7:7" ht="15.75" customHeight="1">
      <c r="G958" s="16"/>
    </row>
    <row r="959" spans="7:7" ht="15.75" customHeight="1">
      <c r="G959" s="16"/>
    </row>
    <row r="960" spans="7:7" ht="15.75" customHeight="1">
      <c r="G960" s="16"/>
    </row>
    <row r="961" spans="7:7" ht="15.75" customHeight="1">
      <c r="G961" s="16"/>
    </row>
    <row r="962" spans="7:7" ht="15.75" customHeight="1">
      <c r="G962" s="16"/>
    </row>
    <row r="963" spans="7:7" ht="15.75" customHeight="1">
      <c r="G963" s="16"/>
    </row>
    <row r="964" spans="7:7" ht="15.75" customHeight="1">
      <c r="G964" s="16"/>
    </row>
    <row r="965" spans="7:7" ht="15.75" customHeight="1">
      <c r="G965" s="16"/>
    </row>
    <row r="966" spans="7:7" ht="15.75" customHeight="1">
      <c r="G966" s="16"/>
    </row>
    <row r="967" spans="7:7" ht="15.75" customHeight="1">
      <c r="G967" s="16"/>
    </row>
    <row r="968" spans="7:7" ht="15.75" customHeight="1">
      <c r="G968" s="16"/>
    </row>
    <row r="969" spans="7:7" ht="15.75" customHeight="1">
      <c r="G969" s="16"/>
    </row>
    <row r="970" spans="7:7" ht="15.75" customHeight="1">
      <c r="G970" s="16"/>
    </row>
    <row r="971" spans="7:7" ht="15.75" customHeight="1">
      <c r="G971" s="16"/>
    </row>
    <row r="972" spans="7:7" ht="15.75" customHeight="1">
      <c r="G972" s="16"/>
    </row>
    <row r="973" spans="7:7" ht="15.75" customHeight="1">
      <c r="G973" s="16"/>
    </row>
    <row r="974" spans="7:7" ht="15.75" customHeight="1">
      <c r="G974" s="16"/>
    </row>
    <row r="975" spans="7:7" ht="15.75" customHeight="1">
      <c r="G975" s="16"/>
    </row>
    <row r="976" spans="7:7" ht="15.75" customHeight="1">
      <c r="G976" s="16"/>
    </row>
    <row r="977" spans="7:7" ht="15.75" customHeight="1">
      <c r="G977" s="16"/>
    </row>
    <row r="978" spans="7:7" ht="15.75" customHeight="1">
      <c r="G978" s="16"/>
    </row>
    <row r="979" spans="7:7" ht="15.75" customHeight="1">
      <c r="G979" s="16"/>
    </row>
    <row r="980" spans="7:7" ht="15.75" customHeight="1">
      <c r="G980" s="16"/>
    </row>
    <row r="981" spans="7:7" ht="15.75" customHeight="1">
      <c r="G981" s="16"/>
    </row>
    <row r="982" spans="7:7" ht="15.75" customHeight="1">
      <c r="G982" s="16"/>
    </row>
    <row r="983" spans="7:7" ht="15.75" customHeight="1">
      <c r="G983" s="16"/>
    </row>
    <row r="984" spans="7:7" ht="15.75" customHeight="1">
      <c r="G984" s="16"/>
    </row>
    <row r="985" spans="7:7" ht="15.75" customHeight="1">
      <c r="G985" s="16"/>
    </row>
    <row r="986" spans="7:7" ht="15.75" customHeight="1">
      <c r="G986" s="16"/>
    </row>
    <row r="987" spans="7:7" ht="15.75" customHeight="1">
      <c r="G987" s="16"/>
    </row>
    <row r="988" spans="7:7" ht="15.75" customHeight="1">
      <c r="G988" s="16"/>
    </row>
    <row r="989" spans="7:7" ht="15.75" customHeight="1">
      <c r="G989" s="16"/>
    </row>
    <row r="990" spans="7:7" ht="15.75" customHeight="1">
      <c r="G990" s="16"/>
    </row>
    <row r="991" spans="7:7" ht="15.75" customHeight="1">
      <c r="G991" s="16"/>
    </row>
    <row r="992" spans="7:7" ht="15.75" customHeight="1">
      <c r="G992" s="16"/>
    </row>
    <row r="993" spans="7:7" ht="15.75" customHeight="1">
      <c r="G993" s="16"/>
    </row>
    <row r="994" spans="7:7" ht="15.75" customHeight="1">
      <c r="G994" s="16"/>
    </row>
    <row r="995" spans="7:7" ht="15.75" customHeight="1">
      <c r="G995" s="16"/>
    </row>
    <row r="996" spans="7:7" ht="15.75" customHeight="1">
      <c r="G996" s="16"/>
    </row>
    <row r="997" spans="7:7" ht="15.75" customHeight="1">
      <c r="G997" s="16"/>
    </row>
    <row r="998" spans="7:7" ht="15.75" customHeight="1">
      <c r="G998" s="16"/>
    </row>
    <row r="999" spans="7:7" ht="15.75" customHeight="1">
      <c r="G999" s="16"/>
    </row>
    <row r="1000" spans="7:7" ht="15.75" customHeight="1">
      <c r="G1000" s="16"/>
    </row>
  </sheetData>
  <mergeCells count="3">
    <mergeCell ref="B1:E1"/>
    <mergeCell ref="F1:I1"/>
    <mergeCell ref="J1:M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Lote 1</vt:lpstr>
      <vt:lpstr>Lote 2</vt:lpstr>
      <vt:lpstr>Lote 3</vt:lpstr>
      <vt:lpstr>%Ganancia</vt:lpstr>
      <vt:lpstr>Resumen</vt:lpstr>
      <vt:lpstr>Analisis Cp</vt:lpstr>
      <vt:lpstr>Parámetros proc.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Santiago Rodríguez Osorio</dc:creator>
  <cp:lastModifiedBy>Wilder Santiago Rodriguez Osorio</cp:lastModifiedBy>
  <dcterms:created xsi:type="dcterms:W3CDTF">2025-09-04T17:28:39Z</dcterms:created>
  <dcterms:modified xsi:type="dcterms:W3CDTF">2026-10-27T22:48:00Z</dcterms:modified>
</cp:coreProperties>
</file>