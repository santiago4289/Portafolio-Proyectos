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 Gamer\Downloads\"/>
    </mc:Choice>
  </mc:AlternateContent>
  <xr:revisionPtr revIDLastSave="0" documentId="13_ncr:1_{F9B81DAF-C1C1-4BAA-8B3F-CFDD13612A88}" xr6:coauthVersionLast="47" xr6:coauthVersionMax="47" xr10:uidLastSave="{00000000-0000-0000-0000-000000000000}"/>
  <bookViews>
    <workbookView xWindow="-120" yWindow="-120" windowWidth="38640" windowHeight="21120" xr2:uid="{96888120-CD16-4946-BD96-B1D58B0E5283}"/>
  </bookViews>
  <sheets>
    <sheet name="Lote 1" sheetId="2" r:id="rId1"/>
    <sheet name="Lote 2" sheetId="3" r:id="rId2"/>
    <sheet name="Lote 3" sheetId="4" r:id="rId3"/>
    <sheet name="Lote 4" sheetId="6" r:id="rId4"/>
    <sheet name="%Ganancia" sheetId="1" r:id="rId5"/>
    <sheet name="Resumen" sheetId="7" r:id="rId6"/>
    <sheet name="Parámetros proceso" sheetId="11" r:id="rId7"/>
    <sheet name="Analisis Cp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" i="1" l="1"/>
  <c r="M22" i="7"/>
  <c r="M61" i="1"/>
  <c r="AA4" i="4"/>
  <c r="AA4" i="2"/>
  <c r="Z6" i="2"/>
  <c r="AA6" i="2"/>
  <c r="Z7" i="2"/>
  <c r="AA7" i="2"/>
  <c r="Z8" i="2"/>
  <c r="AA8" i="2"/>
  <c r="Z9" i="2"/>
  <c r="AA9" i="2"/>
  <c r="Z10" i="2"/>
  <c r="AA10" i="2"/>
  <c r="Z11" i="2"/>
  <c r="AA11" i="2"/>
  <c r="Z12" i="2"/>
  <c r="AA12" i="2"/>
  <c r="Z13" i="2"/>
  <c r="AA13" i="2"/>
  <c r="Z14" i="2"/>
  <c r="AA14" i="2"/>
  <c r="AA5" i="2"/>
  <c r="Z5" i="2"/>
  <c r="Z4" i="2"/>
  <c r="AE10" i="6"/>
  <c r="AE5" i="6"/>
  <c r="AD5" i="6"/>
  <c r="AE14" i="6"/>
  <c r="AD14" i="6"/>
  <c r="AE13" i="6"/>
  <c r="AD13" i="6"/>
  <c r="AE12" i="6"/>
  <c r="AD12" i="6"/>
  <c r="AE11" i="6"/>
  <c r="AD11" i="6"/>
  <c r="AD10" i="6"/>
  <c r="AE9" i="6"/>
  <c r="AD9" i="6"/>
  <c r="AE8" i="6"/>
  <c r="AD8" i="6"/>
  <c r="AE7" i="6"/>
  <c r="AD7" i="6"/>
  <c r="AE6" i="6"/>
  <c r="AD6" i="6"/>
  <c r="AE4" i="6"/>
  <c r="AD4" i="6"/>
  <c r="AA14" i="4"/>
  <c r="Z14" i="4"/>
  <c r="AA13" i="4"/>
  <c r="Z13" i="4"/>
  <c r="AA12" i="4"/>
  <c r="Z12" i="4"/>
  <c r="AA11" i="4"/>
  <c r="Z11" i="4"/>
  <c r="AA10" i="4"/>
  <c r="Z10" i="4"/>
  <c r="AA9" i="4"/>
  <c r="Z9" i="4"/>
  <c r="AA8" i="4"/>
  <c r="Z8" i="4"/>
  <c r="AA7" i="4"/>
  <c r="Z7" i="4"/>
  <c r="AA6" i="4"/>
  <c r="Z6" i="4"/>
  <c r="AA5" i="4"/>
  <c r="Z5" i="4"/>
  <c r="Z4" i="4"/>
  <c r="AA4" i="3"/>
  <c r="Z4" i="3"/>
  <c r="AA6" i="3"/>
  <c r="AA7" i="3"/>
  <c r="AA8" i="3"/>
  <c r="AA9" i="3"/>
  <c r="AA10" i="3"/>
  <c r="AA11" i="3"/>
  <c r="AA12" i="3"/>
  <c r="AA13" i="3"/>
  <c r="AA14" i="3"/>
  <c r="AA5" i="3"/>
  <c r="Z6" i="3"/>
  <c r="Z7" i="3"/>
  <c r="Z8" i="3"/>
  <c r="Z9" i="3"/>
  <c r="Z10" i="3"/>
  <c r="Z11" i="3"/>
  <c r="Z12" i="3"/>
  <c r="Z13" i="3"/>
  <c r="Z14" i="3"/>
  <c r="Z5" i="3"/>
  <c r="C50" i="1" l="1"/>
  <c r="D50" i="1"/>
  <c r="M50" i="1" s="1"/>
  <c r="U50" i="1" s="1"/>
  <c r="E50" i="1"/>
  <c r="N50" i="1" s="1"/>
  <c r="V50" i="1" s="1"/>
  <c r="F50" i="1"/>
  <c r="O50" i="1" s="1"/>
  <c r="W50" i="1" s="1"/>
  <c r="G50" i="1"/>
  <c r="P50" i="1" s="1"/>
  <c r="X50" i="1" s="1"/>
  <c r="C51" i="1"/>
  <c r="D51" i="1"/>
  <c r="M51" i="1" s="1"/>
  <c r="U51" i="1" s="1"/>
  <c r="E51" i="1"/>
  <c r="N51" i="1" s="1"/>
  <c r="V51" i="1" s="1"/>
  <c r="F51" i="1"/>
  <c r="O51" i="1" s="1"/>
  <c r="W51" i="1" s="1"/>
  <c r="G51" i="1"/>
  <c r="P51" i="1" s="1"/>
  <c r="X51" i="1" s="1"/>
  <c r="C52" i="1"/>
  <c r="L52" i="1" s="1"/>
  <c r="D52" i="1"/>
  <c r="M52" i="1" s="1"/>
  <c r="U52" i="1" s="1"/>
  <c r="E52" i="1"/>
  <c r="N52" i="1" s="1"/>
  <c r="V52" i="1" s="1"/>
  <c r="F52" i="1"/>
  <c r="O52" i="1" s="1"/>
  <c r="W52" i="1" s="1"/>
  <c r="G52" i="1"/>
  <c r="P52" i="1" s="1"/>
  <c r="X52" i="1" s="1"/>
  <c r="C53" i="1"/>
  <c r="L53" i="1" s="1"/>
  <c r="D53" i="1"/>
  <c r="M53" i="1" s="1"/>
  <c r="U53" i="1" s="1"/>
  <c r="E53" i="1"/>
  <c r="N53" i="1" s="1"/>
  <c r="V53" i="1" s="1"/>
  <c r="F53" i="1"/>
  <c r="O53" i="1" s="1"/>
  <c r="G53" i="1"/>
  <c r="P53" i="1" s="1"/>
  <c r="X53" i="1" s="1"/>
  <c r="C54" i="1"/>
  <c r="L54" i="1" s="1"/>
  <c r="T54" i="1" s="1"/>
  <c r="D54" i="1"/>
  <c r="M54" i="1" s="1"/>
  <c r="U54" i="1" s="1"/>
  <c r="E54" i="1"/>
  <c r="N54" i="1" s="1"/>
  <c r="V54" i="1" s="1"/>
  <c r="F54" i="1"/>
  <c r="O54" i="1" s="1"/>
  <c r="W54" i="1" s="1"/>
  <c r="G54" i="1"/>
  <c r="P54" i="1" s="1"/>
  <c r="X54" i="1" s="1"/>
  <c r="C55" i="1"/>
  <c r="L55" i="1" s="1"/>
  <c r="D55" i="1"/>
  <c r="M55" i="1" s="1"/>
  <c r="U55" i="1" s="1"/>
  <c r="E55" i="1"/>
  <c r="N55" i="1" s="1"/>
  <c r="V55" i="1" s="1"/>
  <c r="F55" i="1"/>
  <c r="O55" i="1" s="1"/>
  <c r="W55" i="1" s="1"/>
  <c r="G55" i="1"/>
  <c r="P55" i="1" s="1"/>
  <c r="X55" i="1" s="1"/>
  <c r="C56" i="1"/>
  <c r="L56" i="1" s="1"/>
  <c r="T56" i="1" s="1"/>
  <c r="D56" i="1"/>
  <c r="M56" i="1" s="1"/>
  <c r="U56" i="1" s="1"/>
  <c r="E56" i="1"/>
  <c r="N56" i="1" s="1"/>
  <c r="V56" i="1" s="1"/>
  <c r="F56" i="1"/>
  <c r="O56" i="1" s="1"/>
  <c r="W56" i="1" s="1"/>
  <c r="G56" i="1"/>
  <c r="P56" i="1" s="1"/>
  <c r="X56" i="1" s="1"/>
  <c r="C57" i="1"/>
  <c r="D57" i="1"/>
  <c r="M57" i="1" s="1"/>
  <c r="U57" i="1" s="1"/>
  <c r="E57" i="1"/>
  <c r="N57" i="1" s="1"/>
  <c r="V57" i="1" s="1"/>
  <c r="F57" i="1"/>
  <c r="O57" i="1" s="1"/>
  <c r="W57" i="1" s="1"/>
  <c r="G57" i="1"/>
  <c r="P57" i="1" s="1"/>
  <c r="X57" i="1" s="1"/>
  <c r="C58" i="1"/>
  <c r="D58" i="1"/>
  <c r="M58" i="1" s="1"/>
  <c r="U58" i="1" s="1"/>
  <c r="E58" i="1"/>
  <c r="N58" i="1" s="1"/>
  <c r="V58" i="1" s="1"/>
  <c r="F58" i="1"/>
  <c r="O58" i="1" s="1"/>
  <c r="W58" i="1" s="1"/>
  <c r="G58" i="1"/>
  <c r="P58" i="1" s="1"/>
  <c r="X58" i="1" s="1"/>
  <c r="C59" i="1"/>
  <c r="D59" i="1"/>
  <c r="M59" i="1" s="1"/>
  <c r="U59" i="1" s="1"/>
  <c r="E59" i="1"/>
  <c r="N59" i="1" s="1"/>
  <c r="V59" i="1" s="1"/>
  <c r="F59" i="1"/>
  <c r="O59" i="1" s="1"/>
  <c r="W59" i="1" s="1"/>
  <c r="G59" i="1"/>
  <c r="P59" i="1" s="1"/>
  <c r="X59" i="1" s="1"/>
  <c r="D49" i="1"/>
  <c r="M49" i="1" s="1"/>
  <c r="E49" i="1"/>
  <c r="N49" i="1" s="1"/>
  <c r="F49" i="1"/>
  <c r="O49" i="1" s="1"/>
  <c r="G49" i="1"/>
  <c r="P49" i="1" s="1"/>
  <c r="C49" i="1"/>
  <c r="L49" i="1" s="1"/>
  <c r="L59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D34" i="1"/>
  <c r="E34" i="1"/>
  <c r="F34" i="1"/>
  <c r="G34" i="1"/>
  <c r="C34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I27" i="1" s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D19" i="1"/>
  <c r="E19" i="1"/>
  <c r="F19" i="1"/>
  <c r="G19" i="1"/>
  <c r="C19" i="1"/>
  <c r="D14" i="1"/>
  <c r="E14" i="1"/>
  <c r="F14" i="1"/>
  <c r="G14" i="1"/>
  <c r="C14" i="1"/>
  <c r="C13" i="1"/>
  <c r="C5" i="1"/>
  <c r="D5" i="1"/>
  <c r="E5" i="1"/>
  <c r="F5" i="1"/>
  <c r="G5" i="1"/>
  <c r="C6" i="1"/>
  <c r="D6" i="1"/>
  <c r="E6" i="1"/>
  <c r="F6" i="1"/>
  <c r="G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D13" i="1"/>
  <c r="E13" i="1"/>
  <c r="F13" i="1"/>
  <c r="G13" i="1"/>
  <c r="D4" i="1"/>
  <c r="E4" i="1"/>
  <c r="F4" i="1"/>
  <c r="G4" i="1"/>
  <c r="C4" i="1"/>
  <c r="L4" i="1" s="1"/>
  <c r="M5" i="3"/>
  <c r="M6" i="3"/>
  <c r="M7" i="3"/>
  <c r="M8" i="3"/>
  <c r="M9" i="3"/>
  <c r="M10" i="3"/>
  <c r="M11" i="3"/>
  <c r="M12" i="3"/>
  <c r="M13" i="3"/>
  <c r="M14" i="3"/>
  <c r="M4" i="3"/>
  <c r="J3" i="7" s="1"/>
  <c r="N18" i="7" s="1"/>
  <c r="R5" i="3"/>
  <c r="R6" i="3"/>
  <c r="R7" i="3"/>
  <c r="R8" i="3"/>
  <c r="R9" i="3"/>
  <c r="R10" i="3"/>
  <c r="R11" i="3"/>
  <c r="R12" i="3"/>
  <c r="R13" i="3"/>
  <c r="R14" i="3"/>
  <c r="R4" i="3"/>
  <c r="M14" i="2"/>
  <c r="M13" i="2"/>
  <c r="M12" i="2"/>
  <c r="M11" i="2"/>
  <c r="M10" i="2"/>
  <c r="M9" i="2"/>
  <c r="M8" i="2"/>
  <c r="M7" i="2"/>
  <c r="M6" i="2"/>
  <c r="M5" i="2"/>
  <c r="M4" i="2"/>
  <c r="R14" i="2"/>
  <c r="R13" i="2"/>
  <c r="R12" i="2"/>
  <c r="R11" i="2"/>
  <c r="R10" i="2"/>
  <c r="R9" i="2"/>
  <c r="R8" i="2"/>
  <c r="R7" i="2"/>
  <c r="R6" i="2"/>
  <c r="R5" i="2"/>
  <c r="R4" i="2"/>
  <c r="G4" i="7"/>
  <c r="G5" i="7"/>
  <c r="G6" i="7"/>
  <c r="G7" i="7"/>
  <c r="G8" i="7"/>
  <c r="G9" i="7"/>
  <c r="G10" i="7"/>
  <c r="G11" i="7"/>
  <c r="G12" i="7"/>
  <c r="G13" i="7"/>
  <c r="M14" i="4"/>
  <c r="M13" i="4"/>
  <c r="M12" i="4"/>
  <c r="M11" i="4"/>
  <c r="M10" i="4"/>
  <c r="M9" i="4"/>
  <c r="M8" i="4"/>
  <c r="M7" i="4"/>
  <c r="M6" i="4"/>
  <c r="M5" i="4"/>
  <c r="M4" i="4"/>
  <c r="R14" i="4"/>
  <c r="R13" i="4"/>
  <c r="R12" i="4"/>
  <c r="R11" i="4"/>
  <c r="R10" i="4"/>
  <c r="R9" i="4"/>
  <c r="R8" i="4"/>
  <c r="R7" i="4"/>
  <c r="R6" i="4"/>
  <c r="R5" i="4"/>
  <c r="R4" i="4"/>
  <c r="M14" i="6"/>
  <c r="M13" i="6"/>
  <c r="M12" i="6"/>
  <c r="M11" i="6"/>
  <c r="M10" i="6"/>
  <c r="M9" i="6"/>
  <c r="M8" i="6"/>
  <c r="M7" i="6"/>
  <c r="M6" i="6"/>
  <c r="M5" i="6"/>
  <c r="M4" i="6"/>
  <c r="R14" i="6"/>
  <c r="R13" i="6"/>
  <c r="R12" i="6"/>
  <c r="R11" i="6"/>
  <c r="R10" i="6"/>
  <c r="R9" i="6"/>
  <c r="R8" i="6"/>
  <c r="R7" i="6"/>
  <c r="R6" i="6"/>
  <c r="R5" i="6"/>
  <c r="R4" i="6"/>
  <c r="W53" i="1" l="1"/>
  <c r="I55" i="1"/>
  <c r="Q55" i="1"/>
  <c r="I26" i="1"/>
  <c r="I20" i="1"/>
  <c r="I22" i="1"/>
  <c r="I28" i="1"/>
  <c r="I24" i="1"/>
  <c r="I19" i="1"/>
  <c r="I21" i="1"/>
  <c r="I25" i="1"/>
  <c r="I23" i="1"/>
  <c r="I29" i="1"/>
  <c r="G3" i="7"/>
  <c r="Y54" i="1"/>
  <c r="S8" i="7" s="1"/>
  <c r="T55" i="1"/>
  <c r="Y55" i="1" s="1"/>
  <c r="S9" i="7" s="1"/>
  <c r="Y56" i="1"/>
  <c r="S10" i="7" s="1"/>
  <c r="I49" i="1"/>
  <c r="H49" i="1"/>
  <c r="Q49" i="1"/>
  <c r="T52" i="1"/>
  <c r="Y52" i="1" s="1"/>
  <c r="S6" i="7" s="1"/>
  <c r="Q52" i="1"/>
  <c r="H54" i="1"/>
  <c r="I54" i="1"/>
  <c r="L50" i="1"/>
  <c r="I50" i="1"/>
  <c r="H50" i="1"/>
  <c r="H52" i="1"/>
  <c r="I52" i="1"/>
  <c r="L58" i="1"/>
  <c r="H58" i="1"/>
  <c r="Q54" i="1"/>
  <c r="Q56" i="1"/>
  <c r="H53" i="1"/>
  <c r="I53" i="1"/>
  <c r="L51" i="1"/>
  <c r="I51" i="1"/>
  <c r="H51" i="1"/>
  <c r="T53" i="1"/>
  <c r="Y53" i="1" s="1"/>
  <c r="S7" i="7" s="1"/>
  <c r="Q53" i="1"/>
  <c r="T59" i="1"/>
  <c r="Y59" i="1" s="1"/>
  <c r="Q59" i="1"/>
  <c r="P22" i="7" s="1"/>
  <c r="L57" i="1"/>
  <c r="I57" i="1"/>
  <c r="H57" i="1"/>
  <c r="I58" i="1"/>
  <c r="H59" i="1"/>
  <c r="I59" i="1"/>
  <c r="H56" i="1"/>
  <c r="I56" i="1"/>
  <c r="H55" i="1"/>
  <c r="C4" i="8"/>
  <c r="D4" i="8"/>
  <c r="E4" i="8"/>
  <c r="F4" i="8"/>
  <c r="B4" i="8"/>
  <c r="C6" i="8"/>
  <c r="D6" i="8"/>
  <c r="E6" i="8"/>
  <c r="F6" i="8"/>
  <c r="B6" i="8"/>
  <c r="C5" i="8"/>
  <c r="D5" i="8"/>
  <c r="E5" i="8"/>
  <c r="F5" i="8"/>
  <c r="B5" i="8"/>
  <c r="C3" i="8"/>
  <c r="D3" i="8"/>
  <c r="E3" i="8"/>
  <c r="F3" i="8"/>
  <c r="B3" i="8"/>
  <c r="V4" i="7"/>
  <c r="V5" i="7"/>
  <c r="V6" i="7"/>
  <c r="V7" i="7"/>
  <c r="V8" i="7"/>
  <c r="V12" i="7"/>
  <c r="V13" i="7"/>
  <c r="U4" i="7"/>
  <c r="U5" i="7"/>
  <c r="U6" i="7"/>
  <c r="U7" i="7"/>
  <c r="U8" i="7"/>
  <c r="U9" i="7"/>
  <c r="U10" i="7"/>
  <c r="U11" i="7"/>
  <c r="U12" i="7"/>
  <c r="U13" i="7"/>
  <c r="P19" i="7" s="1"/>
  <c r="U3" i="7"/>
  <c r="T4" i="7"/>
  <c r="T5" i="7"/>
  <c r="T6" i="7"/>
  <c r="T7" i="7"/>
  <c r="T8" i="7"/>
  <c r="T9" i="7"/>
  <c r="T10" i="7"/>
  <c r="T11" i="7"/>
  <c r="T12" i="7"/>
  <c r="T13" i="7"/>
  <c r="T3" i="7"/>
  <c r="P18" i="7" s="1"/>
  <c r="P4" i="7"/>
  <c r="P5" i="7"/>
  <c r="P6" i="7"/>
  <c r="P7" i="7"/>
  <c r="P8" i="7"/>
  <c r="P9" i="7"/>
  <c r="P10" i="7"/>
  <c r="P11" i="7"/>
  <c r="P12" i="7"/>
  <c r="P13" i="7"/>
  <c r="O19" i="7" s="1"/>
  <c r="P3" i="7"/>
  <c r="O4" i="7"/>
  <c r="O5" i="7"/>
  <c r="O6" i="7"/>
  <c r="O7" i="7"/>
  <c r="O8" i="7"/>
  <c r="O9" i="7"/>
  <c r="O10" i="7"/>
  <c r="O11" i="7"/>
  <c r="O12" i="7"/>
  <c r="O13" i="7"/>
  <c r="O3" i="7"/>
  <c r="O18" i="7" s="1"/>
  <c r="F4" i="7"/>
  <c r="F5" i="7"/>
  <c r="F6" i="7"/>
  <c r="F7" i="7"/>
  <c r="F8" i="7"/>
  <c r="F9" i="7"/>
  <c r="F10" i="7"/>
  <c r="F11" i="7"/>
  <c r="F12" i="7"/>
  <c r="F13" i="7"/>
  <c r="M19" i="7" s="1"/>
  <c r="E10" i="7"/>
  <c r="E4" i="7"/>
  <c r="E5" i="7"/>
  <c r="E6" i="7"/>
  <c r="E7" i="7"/>
  <c r="E8" i="7"/>
  <c r="E9" i="7"/>
  <c r="E11" i="7"/>
  <c r="E12" i="7"/>
  <c r="E13" i="7"/>
  <c r="E3" i="7"/>
  <c r="M18" i="7" s="1"/>
  <c r="S13" i="7" l="1"/>
  <c r="L67" i="1"/>
  <c r="M67" i="1" s="1"/>
  <c r="P21" i="7"/>
  <c r="P23" i="7" s="1"/>
  <c r="O21" i="7"/>
  <c r="I5" i="8"/>
  <c r="H4" i="8"/>
  <c r="G4" i="8"/>
  <c r="H3" i="8"/>
  <c r="M21" i="7"/>
  <c r="I3" i="8"/>
  <c r="G3" i="8"/>
  <c r="T51" i="1"/>
  <c r="Y51" i="1" s="1"/>
  <c r="S5" i="7" s="1"/>
  <c r="Q51" i="1"/>
  <c r="T58" i="1"/>
  <c r="Y58" i="1" s="1"/>
  <c r="S12" i="7" s="1"/>
  <c r="Q58" i="1"/>
  <c r="T50" i="1"/>
  <c r="Y50" i="1" s="1"/>
  <c r="S4" i="7" s="1"/>
  <c r="Q50" i="1"/>
  <c r="Q57" i="1"/>
  <c r="T57" i="1"/>
  <c r="Y57" i="1" s="1"/>
  <c r="S11" i="7" s="1"/>
  <c r="G5" i="8"/>
  <c r="H5" i="8"/>
  <c r="B16" i="8"/>
  <c r="I6" i="8"/>
  <c r="G6" i="8"/>
  <c r="H6" i="8"/>
  <c r="I4" i="8"/>
  <c r="S14" i="6"/>
  <c r="N14" i="6"/>
  <c r="I14" i="6"/>
  <c r="H14" i="6"/>
  <c r="R13" i="7" s="1"/>
  <c r="S13" i="6"/>
  <c r="N13" i="6"/>
  <c r="I13" i="6"/>
  <c r="H13" i="6"/>
  <c r="R12" i="7" s="1"/>
  <c r="V11" i="7"/>
  <c r="S12" i="6"/>
  <c r="N12" i="6"/>
  <c r="I12" i="6"/>
  <c r="H12" i="6"/>
  <c r="R11" i="7" s="1"/>
  <c r="V10" i="7"/>
  <c r="S11" i="6"/>
  <c r="N11" i="6"/>
  <c r="I11" i="6"/>
  <c r="H11" i="6"/>
  <c r="R10" i="7" s="1"/>
  <c r="V9" i="7"/>
  <c r="S10" i="6"/>
  <c r="N10" i="6"/>
  <c r="I10" i="6"/>
  <c r="H10" i="6"/>
  <c r="R9" i="7" s="1"/>
  <c r="S9" i="6"/>
  <c r="N9" i="6"/>
  <c r="I9" i="6"/>
  <c r="H9" i="6"/>
  <c r="R8" i="7" s="1"/>
  <c r="S8" i="6"/>
  <c r="N8" i="6"/>
  <c r="I8" i="6"/>
  <c r="H8" i="6"/>
  <c r="R7" i="7" s="1"/>
  <c r="S7" i="6"/>
  <c r="N7" i="6"/>
  <c r="I7" i="6"/>
  <c r="H7" i="6"/>
  <c r="R6" i="7" s="1"/>
  <c r="S6" i="6"/>
  <c r="N6" i="6"/>
  <c r="I6" i="6"/>
  <c r="H6" i="6"/>
  <c r="R5" i="7" s="1"/>
  <c r="S5" i="6"/>
  <c r="N5" i="6"/>
  <c r="I5" i="6"/>
  <c r="H5" i="6"/>
  <c r="R4" i="7" s="1"/>
  <c r="V3" i="7"/>
  <c r="S4" i="6"/>
  <c r="N4" i="6"/>
  <c r="I4" i="6"/>
  <c r="H4" i="6"/>
  <c r="R3" i="7" s="1"/>
  <c r="Q4" i="7"/>
  <c r="Q13" i="7"/>
  <c r="S14" i="4"/>
  <c r="N14" i="4"/>
  <c r="I14" i="4"/>
  <c r="H14" i="4"/>
  <c r="M13" i="7" s="1"/>
  <c r="Q12" i="7"/>
  <c r="S13" i="4"/>
  <c r="N13" i="4"/>
  <c r="I13" i="4"/>
  <c r="H13" i="4"/>
  <c r="M12" i="7" s="1"/>
  <c r="Q11" i="7"/>
  <c r="S12" i="4"/>
  <c r="N12" i="4"/>
  <c r="I12" i="4"/>
  <c r="H12" i="4"/>
  <c r="M11" i="7" s="1"/>
  <c r="Q10" i="7"/>
  <c r="S11" i="4"/>
  <c r="N11" i="4"/>
  <c r="I11" i="4"/>
  <c r="H11" i="4"/>
  <c r="M10" i="7" s="1"/>
  <c r="Q9" i="7"/>
  <c r="S10" i="4"/>
  <c r="N10" i="4"/>
  <c r="I10" i="4"/>
  <c r="H10" i="4"/>
  <c r="M9" i="7" s="1"/>
  <c r="Q8" i="7"/>
  <c r="S9" i="4"/>
  <c r="N9" i="4"/>
  <c r="I9" i="4"/>
  <c r="H9" i="4"/>
  <c r="M8" i="7" s="1"/>
  <c r="Q7" i="7"/>
  <c r="S8" i="4"/>
  <c r="N8" i="4"/>
  <c r="I8" i="4"/>
  <c r="H8" i="4"/>
  <c r="M7" i="7" s="1"/>
  <c r="Q6" i="7"/>
  <c r="S7" i="4"/>
  <c r="N7" i="4"/>
  <c r="I7" i="4"/>
  <c r="H7" i="4"/>
  <c r="M6" i="7" s="1"/>
  <c r="Q5" i="7"/>
  <c r="S6" i="4"/>
  <c r="N6" i="4"/>
  <c r="I6" i="4"/>
  <c r="H6" i="4"/>
  <c r="M5" i="7" s="1"/>
  <c r="S5" i="4"/>
  <c r="N5" i="4"/>
  <c r="I5" i="4"/>
  <c r="H5" i="4"/>
  <c r="M4" i="7" s="1"/>
  <c r="Q3" i="7"/>
  <c r="S4" i="4"/>
  <c r="N4" i="4"/>
  <c r="I4" i="4"/>
  <c r="H4" i="4"/>
  <c r="M3" i="7" s="1"/>
  <c r="J6" i="8" l="1"/>
  <c r="J5" i="8"/>
  <c r="J4" i="8"/>
  <c r="J3" i="8"/>
  <c r="G8" i="8"/>
  <c r="B12" i="8"/>
  <c r="B10" i="8"/>
  <c r="L13" i="7"/>
  <c r="S14" i="3"/>
  <c r="K13" i="7"/>
  <c r="N19" i="7" s="1"/>
  <c r="N14" i="3"/>
  <c r="J13" i="7"/>
  <c r="I14" i="3"/>
  <c r="H14" i="3"/>
  <c r="H13" i="7" s="1"/>
  <c r="L12" i="7"/>
  <c r="S13" i="3"/>
  <c r="K12" i="7"/>
  <c r="N13" i="3"/>
  <c r="J12" i="7"/>
  <c r="I13" i="3"/>
  <c r="H13" i="3"/>
  <c r="H12" i="7" s="1"/>
  <c r="L11" i="7"/>
  <c r="S12" i="3"/>
  <c r="K11" i="7"/>
  <c r="N12" i="3"/>
  <c r="J11" i="7"/>
  <c r="I12" i="3"/>
  <c r="H12" i="3"/>
  <c r="H11" i="7" s="1"/>
  <c r="L10" i="7"/>
  <c r="S11" i="3"/>
  <c r="K10" i="7"/>
  <c r="N11" i="3"/>
  <c r="J10" i="7"/>
  <c r="I11" i="3"/>
  <c r="H11" i="3"/>
  <c r="H10" i="7" s="1"/>
  <c r="L9" i="7"/>
  <c r="S10" i="3"/>
  <c r="K9" i="7"/>
  <c r="N10" i="3"/>
  <c r="J9" i="7"/>
  <c r="I10" i="3"/>
  <c r="H10" i="3"/>
  <c r="H9" i="7" s="1"/>
  <c r="L8" i="7"/>
  <c r="S9" i="3"/>
  <c r="K8" i="7"/>
  <c r="N9" i="3"/>
  <c r="J8" i="7"/>
  <c r="I9" i="3"/>
  <c r="H9" i="3"/>
  <c r="H8" i="7" s="1"/>
  <c r="L7" i="7"/>
  <c r="S8" i="3"/>
  <c r="K7" i="7"/>
  <c r="N8" i="3"/>
  <c r="J7" i="7"/>
  <c r="I8" i="3"/>
  <c r="H8" i="3"/>
  <c r="H7" i="7" s="1"/>
  <c r="L6" i="7"/>
  <c r="S7" i="3"/>
  <c r="K6" i="7"/>
  <c r="N7" i="3"/>
  <c r="J6" i="7"/>
  <c r="I7" i="3"/>
  <c r="H7" i="3"/>
  <c r="H6" i="7" s="1"/>
  <c r="L5" i="7"/>
  <c r="S6" i="3"/>
  <c r="K5" i="7"/>
  <c r="N6" i="3"/>
  <c r="J5" i="7"/>
  <c r="I6" i="3"/>
  <c r="H6" i="3"/>
  <c r="H5" i="7" s="1"/>
  <c r="L4" i="7"/>
  <c r="S5" i="3"/>
  <c r="K4" i="7"/>
  <c r="N5" i="3"/>
  <c r="J4" i="7"/>
  <c r="I5" i="3"/>
  <c r="H5" i="3"/>
  <c r="H4" i="7" s="1"/>
  <c r="L3" i="7"/>
  <c r="S4" i="3"/>
  <c r="K3" i="7"/>
  <c r="N4" i="3"/>
  <c r="I4" i="3"/>
  <c r="H4" i="3"/>
  <c r="H3" i="7" s="1"/>
  <c r="J8" i="8" l="1"/>
  <c r="B15" i="8" s="1"/>
  <c r="F10" i="8" s="1"/>
  <c r="N21" i="7"/>
  <c r="F14" i="8"/>
  <c r="F15" i="8"/>
  <c r="B19" i="8"/>
  <c r="S14" i="2"/>
  <c r="S13" i="2"/>
  <c r="S12" i="2"/>
  <c r="S11" i="2"/>
  <c r="S10" i="2"/>
  <c r="S9" i="2"/>
  <c r="S8" i="2"/>
  <c r="S7" i="2"/>
  <c r="S6" i="2"/>
  <c r="S5" i="2"/>
  <c r="S4" i="2"/>
  <c r="F3" i="7"/>
  <c r="N14" i="2"/>
  <c r="N13" i="2"/>
  <c r="N12" i="2"/>
  <c r="N11" i="2"/>
  <c r="N10" i="2"/>
  <c r="N9" i="2"/>
  <c r="N8" i="2"/>
  <c r="N7" i="2"/>
  <c r="N6" i="2"/>
  <c r="N5" i="2"/>
  <c r="N4" i="2"/>
  <c r="H5" i="2"/>
  <c r="C4" i="7" s="1"/>
  <c r="H6" i="2"/>
  <c r="C5" i="7" s="1"/>
  <c r="H7" i="2"/>
  <c r="C6" i="7" s="1"/>
  <c r="H8" i="2"/>
  <c r="C7" i="7" s="1"/>
  <c r="H9" i="2"/>
  <c r="C8" i="7" s="1"/>
  <c r="H10" i="2"/>
  <c r="C9" i="7" s="1"/>
  <c r="H11" i="2"/>
  <c r="C10" i="7" s="1"/>
  <c r="H12" i="2"/>
  <c r="C11" i="7" s="1"/>
  <c r="H13" i="2"/>
  <c r="C12" i="7" s="1"/>
  <c r="H14" i="2"/>
  <c r="C13" i="7" s="1"/>
  <c r="H4" i="2"/>
  <c r="C3" i="7" s="1"/>
  <c r="I5" i="2"/>
  <c r="I6" i="2"/>
  <c r="I7" i="2"/>
  <c r="I8" i="2"/>
  <c r="I9" i="2"/>
  <c r="I10" i="2"/>
  <c r="I11" i="2"/>
  <c r="I12" i="2"/>
  <c r="I13" i="2"/>
  <c r="I14" i="2"/>
  <c r="I4" i="2"/>
  <c r="B18" i="8" l="1"/>
  <c r="F11" i="8"/>
  <c r="F12" i="8" s="1"/>
  <c r="F16" i="8"/>
  <c r="P44" i="1"/>
  <c r="X44" i="1" s="1"/>
  <c r="O44" i="1"/>
  <c r="W44" i="1" s="1"/>
  <c r="N44" i="1"/>
  <c r="V44" i="1" s="1"/>
  <c r="M44" i="1"/>
  <c r="U44" i="1" s="1"/>
  <c r="L44" i="1"/>
  <c r="T44" i="1" s="1"/>
  <c r="P43" i="1"/>
  <c r="X43" i="1" s="1"/>
  <c r="O43" i="1"/>
  <c r="W43" i="1" s="1"/>
  <c r="N43" i="1"/>
  <c r="V43" i="1" s="1"/>
  <c r="M43" i="1"/>
  <c r="U43" i="1" s="1"/>
  <c r="L43" i="1"/>
  <c r="P42" i="1"/>
  <c r="X42" i="1" s="1"/>
  <c r="O42" i="1"/>
  <c r="W42" i="1" s="1"/>
  <c r="N42" i="1"/>
  <c r="V42" i="1" s="1"/>
  <c r="M42" i="1"/>
  <c r="U42" i="1" s="1"/>
  <c r="L42" i="1"/>
  <c r="P41" i="1"/>
  <c r="X41" i="1" s="1"/>
  <c r="O41" i="1"/>
  <c r="W41" i="1" s="1"/>
  <c r="N41" i="1"/>
  <c r="V41" i="1" s="1"/>
  <c r="M41" i="1"/>
  <c r="U41" i="1" s="1"/>
  <c r="L41" i="1"/>
  <c r="T41" i="1" s="1"/>
  <c r="P40" i="1"/>
  <c r="X40" i="1" s="1"/>
  <c r="O40" i="1"/>
  <c r="W40" i="1" s="1"/>
  <c r="N40" i="1"/>
  <c r="V40" i="1" s="1"/>
  <c r="M40" i="1"/>
  <c r="U40" i="1" s="1"/>
  <c r="L40" i="1"/>
  <c r="T40" i="1" s="1"/>
  <c r="P39" i="1"/>
  <c r="X39" i="1" s="1"/>
  <c r="O39" i="1"/>
  <c r="W39" i="1" s="1"/>
  <c r="N39" i="1"/>
  <c r="V39" i="1" s="1"/>
  <c r="M39" i="1"/>
  <c r="U39" i="1" s="1"/>
  <c r="L39" i="1"/>
  <c r="P38" i="1"/>
  <c r="X38" i="1" s="1"/>
  <c r="O38" i="1"/>
  <c r="W38" i="1" s="1"/>
  <c r="N38" i="1"/>
  <c r="V38" i="1" s="1"/>
  <c r="M38" i="1"/>
  <c r="U38" i="1" s="1"/>
  <c r="L38" i="1"/>
  <c r="P37" i="1"/>
  <c r="X37" i="1" s="1"/>
  <c r="O37" i="1"/>
  <c r="W37" i="1" s="1"/>
  <c r="N37" i="1"/>
  <c r="V37" i="1" s="1"/>
  <c r="M37" i="1"/>
  <c r="U37" i="1" s="1"/>
  <c r="L37" i="1"/>
  <c r="T37" i="1" s="1"/>
  <c r="P36" i="1"/>
  <c r="X36" i="1" s="1"/>
  <c r="O36" i="1"/>
  <c r="W36" i="1" s="1"/>
  <c r="N36" i="1"/>
  <c r="V36" i="1" s="1"/>
  <c r="M36" i="1"/>
  <c r="U36" i="1" s="1"/>
  <c r="L36" i="1"/>
  <c r="T36" i="1" s="1"/>
  <c r="P35" i="1"/>
  <c r="X35" i="1" s="1"/>
  <c r="O35" i="1"/>
  <c r="W35" i="1" s="1"/>
  <c r="N35" i="1"/>
  <c r="V35" i="1" s="1"/>
  <c r="M35" i="1"/>
  <c r="U35" i="1" s="1"/>
  <c r="L35" i="1"/>
  <c r="P34" i="1"/>
  <c r="O34" i="1"/>
  <c r="N34" i="1"/>
  <c r="M34" i="1"/>
  <c r="L34" i="1"/>
  <c r="N23" i="1"/>
  <c r="V23" i="1" s="1"/>
  <c r="P29" i="1"/>
  <c r="X29" i="1" s="1"/>
  <c r="O29" i="1"/>
  <c r="W29" i="1" s="1"/>
  <c r="N29" i="1"/>
  <c r="V29" i="1" s="1"/>
  <c r="M29" i="1"/>
  <c r="U29" i="1" s="1"/>
  <c r="L29" i="1"/>
  <c r="T29" i="1" s="1"/>
  <c r="P28" i="1"/>
  <c r="X28" i="1" s="1"/>
  <c r="O28" i="1"/>
  <c r="W28" i="1" s="1"/>
  <c r="N28" i="1"/>
  <c r="V28" i="1" s="1"/>
  <c r="M28" i="1"/>
  <c r="U28" i="1" s="1"/>
  <c r="L28" i="1"/>
  <c r="P27" i="1"/>
  <c r="X27" i="1" s="1"/>
  <c r="O27" i="1"/>
  <c r="W27" i="1" s="1"/>
  <c r="N27" i="1"/>
  <c r="V27" i="1" s="1"/>
  <c r="M27" i="1"/>
  <c r="U27" i="1" s="1"/>
  <c r="L27" i="1"/>
  <c r="P26" i="1"/>
  <c r="X26" i="1" s="1"/>
  <c r="O26" i="1"/>
  <c r="W26" i="1" s="1"/>
  <c r="N26" i="1"/>
  <c r="V26" i="1" s="1"/>
  <c r="M26" i="1"/>
  <c r="U26" i="1" s="1"/>
  <c r="L26" i="1"/>
  <c r="T26" i="1" s="1"/>
  <c r="P25" i="1"/>
  <c r="X25" i="1" s="1"/>
  <c r="O25" i="1"/>
  <c r="W25" i="1" s="1"/>
  <c r="N25" i="1"/>
  <c r="V25" i="1" s="1"/>
  <c r="M25" i="1"/>
  <c r="U25" i="1" s="1"/>
  <c r="L25" i="1"/>
  <c r="T25" i="1" s="1"/>
  <c r="P24" i="1"/>
  <c r="X24" i="1" s="1"/>
  <c r="O24" i="1"/>
  <c r="W24" i="1" s="1"/>
  <c r="N24" i="1"/>
  <c r="V24" i="1" s="1"/>
  <c r="M24" i="1"/>
  <c r="U24" i="1" s="1"/>
  <c r="L24" i="1"/>
  <c r="T24" i="1" s="1"/>
  <c r="P23" i="1"/>
  <c r="X23" i="1" s="1"/>
  <c r="O23" i="1"/>
  <c r="W23" i="1" s="1"/>
  <c r="M23" i="1"/>
  <c r="U23" i="1" s="1"/>
  <c r="L23" i="1"/>
  <c r="T23" i="1" s="1"/>
  <c r="P22" i="1"/>
  <c r="X22" i="1" s="1"/>
  <c r="O22" i="1"/>
  <c r="W22" i="1" s="1"/>
  <c r="N22" i="1"/>
  <c r="V22" i="1" s="1"/>
  <c r="M22" i="1"/>
  <c r="U22" i="1" s="1"/>
  <c r="L22" i="1"/>
  <c r="P21" i="1"/>
  <c r="X21" i="1" s="1"/>
  <c r="O21" i="1"/>
  <c r="W21" i="1" s="1"/>
  <c r="N21" i="1"/>
  <c r="V21" i="1" s="1"/>
  <c r="M21" i="1"/>
  <c r="U21" i="1" s="1"/>
  <c r="L21" i="1"/>
  <c r="T21" i="1" s="1"/>
  <c r="P20" i="1"/>
  <c r="X20" i="1" s="1"/>
  <c r="O20" i="1"/>
  <c r="W20" i="1" s="1"/>
  <c r="N20" i="1"/>
  <c r="V20" i="1" s="1"/>
  <c r="M20" i="1"/>
  <c r="U20" i="1" s="1"/>
  <c r="L20" i="1"/>
  <c r="T20" i="1" s="1"/>
  <c r="P19" i="1"/>
  <c r="O19" i="1"/>
  <c r="N19" i="1"/>
  <c r="M19" i="1"/>
  <c r="L19" i="1"/>
  <c r="O6" i="1"/>
  <c r="W6" i="1" s="1"/>
  <c r="L14" i="1"/>
  <c r="M14" i="1"/>
  <c r="U14" i="1" s="1"/>
  <c r="N14" i="1"/>
  <c r="V14" i="1" s="1"/>
  <c r="O14" i="1"/>
  <c r="W14" i="1" s="1"/>
  <c r="P14" i="1"/>
  <c r="L5" i="1"/>
  <c r="M5" i="1"/>
  <c r="U5" i="1" s="1"/>
  <c r="N5" i="1"/>
  <c r="V5" i="1" s="1"/>
  <c r="O5" i="1"/>
  <c r="W5" i="1" s="1"/>
  <c r="P5" i="1"/>
  <c r="X5" i="1" s="1"/>
  <c r="L6" i="1"/>
  <c r="M6" i="1"/>
  <c r="U6" i="1" s="1"/>
  <c r="N6" i="1"/>
  <c r="V6" i="1" s="1"/>
  <c r="P6" i="1"/>
  <c r="X6" i="1" s="1"/>
  <c r="L7" i="1"/>
  <c r="T7" i="1" s="1"/>
  <c r="M7" i="1"/>
  <c r="U7" i="1" s="1"/>
  <c r="N7" i="1"/>
  <c r="V7" i="1" s="1"/>
  <c r="O7" i="1"/>
  <c r="W7" i="1" s="1"/>
  <c r="P7" i="1"/>
  <c r="X7" i="1" s="1"/>
  <c r="L8" i="1"/>
  <c r="T8" i="1" s="1"/>
  <c r="M8" i="1"/>
  <c r="U8" i="1" s="1"/>
  <c r="N8" i="1"/>
  <c r="V8" i="1" s="1"/>
  <c r="O8" i="1"/>
  <c r="W8" i="1" s="1"/>
  <c r="P8" i="1"/>
  <c r="X8" i="1" s="1"/>
  <c r="L9" i="1"/>
  <c r="T9" i="1" s="1"/>
  <c r="M9" i="1"/>
  <c r="U9" i="1" s="1"/>
  <c r="N9" i="1"/>
  <c r="V9" i="1" s="1"/>
  <c r="O9" i="1"/>
  <c r="W9" i="1" s="1"/>
  <c r="P9" i="1"/>
  <c r="X9" i="1" s="1"/>
  <c r="L10" i="1"/>
  <c r="T10" i="1" s="1"/>
  <c r="M10" i="1"/>
  <c r="U10" i="1" s="1"/>
  <c r="N10" i="1"/>
  <c r="V10" i="1" s="1"/>
  <c r="O10" i="1"/>
  <c r="W10" i="1" s="1"/>
  <c r="P10" i="1"/>
  <c r="X10" i="1" s="1"/>
  <c r="L11" i="1"/>
  <c r="T11" i="1" s="1"/>
  <c r="M11" i="1"/>
  <c r="U11" i="1" s="1"/>
  <c r="N11" i="1"/>
  <c r="V11" i="1" s="1"/>
  <c r="O11" i="1"/>
  <c r="W11" i="1" s="1"/>
  <c r="P11" i="1"/>
  <c r="X11" i="1" s="1"/>
  <c r="L12" i="1"/>
  <c r="T12" i="1" s="1"/>
  <c r="M12" i="1"/>
  <c r="U12" i="1" s="1"/>
  <c r="N12" i="1"/>
  <c r="V12" i="1" s="1"/>
  <c r="O12" i="1"/>
  <c r="W12" i="1" s="1"/>
  <c r="P12" i="1"/>
  <c r="X12" i="1" s="1"/>
  <c r="L13" i="1"/>
  <c r="T13" i="1" s="1"/>
  <c r="M13" i="1"/>
  <c r="U13" i="1" s="1"/>
  <c r="N13" i="1"/>
  <c r="V13" i="1" s="1"/>
  <c r="O13" i="1"/>
  <c r="W13" i="1" s="1"/>
  <c r="P13" i="1"/>
  <c r="X13" i="1" s="1"/>
  <c r="M4" i="1"/>
  <c r="N4" i="1"/>
  <c r="O4" i="1"/>
  <c r="P4" i="1"/>
  <c r="H35" i="1"/>
  <c r="H36" i="1"/>
  <c r="H37" i="1"/>
  <c r="H38" i="1"/>
  <c r="H39" i="1"/>
  <c r="H40" i="1"/>
  <c r="H41" i="1"/>
  <c r="H42" i="1"/>
  <c r="H43" i="1"/>
  <c r="H44" i="1"/>
  <c r="H34" i="1"/>
  <c r="H20" i="1"/>
  <c r="H21" i="1"/>
  <c r="H22" i="1"/>
  <c r="H23" i="1"/>
  <c r="H24" i="1"/>
  <c r="H25" i="1"/>
  <c r="H26" i="1"/>
  <c r="H27" i="1"/>
  <c r="H28" i="1"/>
  <c r="H29" i="1"/>
  <c r="H19" i="1"/>
  <c r="H14" i="1"/>
  <c r="H5" i="1"/>
  <c r="H6" i="1"/>
  <c r="H7" i="1"/>
  <c r="H8" i="1"/>
  <c r="H9" i="1"/>
  <c r="H10" i="1"/>
  <c r="H11" i="1"/>
  <c r="H12" i="1"/>
  <c r="H13" i="1"/>
  <c r="H4" i="1"/>
  <c r="I44" i="1"/>
  <c r="I43" i="1"/>
  <c r="I42" i="1"/>
  <c r="I41" i="1"/>
  <c r="I40" i="1"/>
  <c r="I39" i="1"/>
  <c r="I38" i="1"/>
  <c r="I37" i="1"/>
  <c r="I36" i="1"/>
  <c r="I35" i="1"/>
  <c r="I34" i="1"/>
  <c r="I12" i="1"/>
  <c r="I5" i="1"/>
  <c r="I6" i="1"/>
  <c r="I7" i="1"/>
  <c r="I8" i="1"/>
  <c r="I9" i="1"/>
  <c r="I10" i="1"/>
  <c r="I11" i="1"/>
  <c r="I13" i="1"/>
  <c r="I14" i="1"/>
  <c r="I4" i="1"/>
  <c r="Q34" i="1" l="1"/>
  <c r="Q42" i="1"/>
  <c r="T42" i="1"/>
  <c r="Q38" i="1"/>
  <c r="T38" i="1"/>
  <c r="Q43" i="1"/>
  <c r="T43" i="1"/>
  <c r="Q39" i="1"/>
  <c r="T39" i="1"/>
  <c r="Q35" i="1"/>
  <c r="T35" i="1"/>
  <c r="Q27" i="1"/>
  <c r="T27" i="1"/>
  <c r="Q22" i="1"/>
  <c r="T22" i="1"/>
  <c r="Q19" i="1"/>
  <c r="Q28" i="1"/>
  <c r="T28" i="1"/>
  <c r="Q6" i="1"/>
  <c r="T6" i="1"/>
  <c r="Y6" i="1" s="1"/>
  <c r="D5" i="7" s="1"/>
  <c r="Q5" i="1"/>
  <c r="T5" i="1"/>
  <c r="X14" i="1"/>
  <c r="T14" i="1"/>
  <c r="Q14" i="1"/>
  <c r="M23" i="7" s="1"/>
  <c r="Q36" i="1"/>
  <c r="Q23" i="1"/>
  <c r="Q4" i="1"/>
  <c r="Q9" i="1"/>
  <c r="Q26" i="1"/>
  <c r="Q21" i="1"/>
  <c r="Q37" i="1"/>
  <c r="Q8" i="1"/>
  <c r="Q12" i="1"/>
  <c r="Q7" i="1"/>
  <c r="Q44" i="1"/>
  <c r="O22" i="7" s="1"/>
  <c r="O23" i="7" s="1"/>
  <c r="Q24" i="1"/>
  <c r="Q11" i="1"/>
  <c r="Q40" i="1"/>
  <c r="Q20" i="1"/>
  <c r="Q29" i="1"/>
  <c r="N22" i="7" s="1"/>
  <c r="N23" i="7" s="1"/>
  <c r="Q10" i="1"/>
  <c r="Q25" i="1"/>
  <c r="Q41" i="1"/>
  <c r="Q13" i="1"/>
  <c r="Y10" i="1"/>
  <c r="D9" i="7" s="1"/>
  <c r="Y8" i="1" l="1"/>
  <c r="D7" i="7" s="1"/>
  <c r="Y25" i="1"/>
  <c r="I9" i="7" s="1"/>
  <c r="Y7" i="1"/>
  <c r="D6" i="7" s="1"/>
  <c r="Y9" i="1"/>
  <c r="D8" i="7" s="1"/>
  <c r="Y42" i="1"/>
  <c r="N11" i="7" s="1"/>
  <c r="Y38" i="1"/>
  <c r="N7" i="7" s="1"/>
  <c r="Y23" i="1"/>
  <c r="I7" i="7" s="1"/>
  <c r="Y26" i="1"/>
  <c r="I10" i="7" s="1"/>
  <c r="Y20" i="1"/>
  <c r="I4" i="7" s="1"/>
  <c r="Y13" i="1"/>
  <c r="D12" i="7" s="1"/>
  <c r="Y22" i="1"/>
  <c r="I6" i="7" s="1"/>
  <c r="Y27" i="1"/>
  <c r="I11" i="7" s="1"/>
  <c r="Y21" i="1"/>
  <c r="I5" i="7" s="1"/>
  <c r="Y24" i="1"/>
  <c r="I8" i="7" s="1"/>
  <c r="Y40" i="1"/>
  <c r="N9" i="7" s="1"/>
  <c r="Y35" i="1"/>
  <c r="N4" i="7" s="1"/>
  <c r="Y12" i="1"/>
  <c r="D11" i="7" s="1"/>
  <c r="Y14" i="1"/>
  <c r="Y39" i="1"/>
  <c r="N8" i="7" s="1"/>
  <c r="Y29" i="1"/>
  <c r="Y44" i="1"/>
  <c r="Y37" i="1"/>
  <c r="N6" i="7" s="1"/>
  <c r="Y41" i="1"/>
  <c r="N10" i="7" s="1"/>
  <c r="Y43" i="1"/>
  <c r="N12" i="7" s="1"/>
  <c r="Y28" i="1"/>
  <c r="I12" i="7" s="1"/>
  <c r="Y36" i="1"/>
  <c r="N5" i="7" s="1"/>
  <c r="Y5" i="1"/>
  <c r="D4" i="7" s="1"/>
  <c r="Y11" i="1"/>
  <c r="D10" i="7" s="1"/>
  <c r="N13" i="7" l="1"/>
  <c r="L66" i="1"/>
  <c r="M66" i="1" s="1"/>
  <c r="I13" i="7"/>
  <c r="L65" i="1"/>
  <c r="M65" i="1" s="1"/>
  <c r="D13" i="7"/>
  <c r="L64" i="1"/>
  <c r="M64" i="1" s="1"/>
  <c r="M68" i="1" l="1"/>
  <c r="M70" i="1" s="1"/>
</calcChain>
</file>

<file path=xl/sharedStrings.xml><?xml version="1.0" encoding="utf-8"?>
<sst xmlns="http://schemas.openxmlformats.org/spreadsheetml/2006/main" count="204" uniqueCount="61">
  <si>
    <t>Muestra</t>
  </si>
  <si>
    <t>Tiempo [min]</t>
  </si>
  <si>
    <t>Pellets/g</t>
  </si>
  <si>
    <t>m</t>
  </si>
  <si>
    <t>s</t>
  </si>
  <si>
    <t>Diametro [mm] Microscopio</t>
  </si>
  <si>
    <t>Espesor [mm] Microscopio</t>
  </si>
  <si>
    <t>Densidad 00 [g/ml]</t>
  </si>
  <si>
    <t>Densidad 0 [g/ml]</t>
  </si>
  <si>
    <t>Final</t>
  </si>
  <si>
    <t>Lote 1</t>
  </si>
  <si>
    <t>Conteo de pellet/g</t>
  </si>
  <si>
    <t>Ganancia en peso [g]</t>
  </si>
  <si>
    <t>% de Ganancia</t>
  </si>
  <si>
    <t>Tiempo</t>
  </si>
  <si>
    <t>Desnudo</t>
  </si>
  <si>
    <t>Lote 2</t>
  </si>
  <si>
    <t>Lote 3</t>
  </si>
  <si>
    <t>Lote 4</t>
  </si>
  <si>
    <t>Peso pellet desnudo [g]</t>
  </si>
  <si>
    <t>Lote</t>
  </si>
  <si>
    <t>Ganancia final</t>
  </si>
  <si>
    <t>h</t>
  </si>
  <si>
    <t>Promedio</t>
  </si>
  <si>
    <t>Desviación E</t>
  </si>
  <si>
    <r>
      <rPr>
        <b/>
        <sz val="11"/>
        <color theme="1"/>
        <rFont val="Symbol"/>
        <family val="1"/>
        <charset val="2"/>
      </rPr>
      <t>h</t>
    </r>
    <r>
      <rPr>
        <b/>
        <sz val="11"/>
        <color theme="1"/>
        <rFont val="Aptos Narrow"/>
        <family val="2"/>
        <scheme val="minor"/>
      </rPr>
      <t xml:space="preserve"> promedio</t>
    </r>
  </si>
  <si>
    <t>%Ganancia</t>
  </si>
  <si>
    <t>Diametro [mm]</t>
  </si>
  <si>
    <r>
      <rPr>
        <b/>
        <sz val="10"/>
        <color theme="1"/>
        <rFont val="Symbol"/>
        <family val="1"/>
        <charset val="2"/>
      </rPr>
      <t>e</t>
    </r>
    <r>
      <rPr>
        <b/>
        <sz val="10"/>
        <color theme="1"/>
        <rFont val="Aptos Narrow"/>
        <family val="2"/>
        <scheme val="minor"/>
      </rPr>
      <t xml:space="preserve">                [mm]</t>
    </r>
  </si>
  <si>
    <r>
      <rPr>
        <b/>
        <sz val="10"/>
        <color theme="1"/>
        <rFont val="Symbol"/>
        <family val="1"/>
        <charset val="2"/>
      </rPr>
      <t>r</t>
    </r>
    <r>
      <rPr>
        <b/>
        <sz val="10"/>
        <color theme="1"/>
        <rFont val="Aptos Narrow"/>
        <family val="2"/>
        <scheme val="minor"/>
      </rPr>
      <t xml:space="preserve">                [g/ml]</t>
    </r>
  </si>
  <si>
    <r>
      <rPr>
        <b/>
        <sz val="11"/>
        <color theme="1"/>
        <rFont val="Symbol"/>
        <family val="1"/>
        <charset val="2"/>
      </rPr>
      <t>r</t>
    </r>
    <r>
      <rPr>
        <b/>
        <sz val="11"/>
        <color theme="1"/>
        <rFont val="Aptos Narrow"/>
        <family val="2"/>
        <scheme val="minor"/>
      </rPr>
      <t>_s [g/mm3]</t>
    </r>
  </si>
  <si>
    <t>Do [mm]</t>
  </si>
  <si>
    <r>
      <rPr>
        <b/>
        <sz val="11"/>
        <color theme="1"/>
        <rFont val="Symbol"/>
        <family val="1"/>
        <charset val="2"/>
      </rPr>
      <t>e</t>
    </r>
    <r>
      <rPr>
        <b/>
        <sz val="11"/>
        <color theme="1"/>
        <rFont val="Aptos Narrow"/>
        <family val="2"/>
        <scheme val="minor"/>
      </rPr>
      <t xml:space="preserve"> [mm]</t>
    </r>
  </si>
  <si>
    <t>mc_teo [g]</t>
  </si>
  <si>
    <t>mc_exp [g]</t>
  </si>
  <si>
    <t>%ERROR</t>
  </si>
  <si>
    <t xml:space="preserve">   </t>
  </si>
  <si>
    <t>P atomiz                    [bar ]</t>
  </si>
  <si>
    <t xml:space="preserve">P. aire comp         bar </t>
  </si>
  <si>
    <t>T. producto [°C ]</t>
  </si>
  <si>
    <t>Velocidad Aire [m/s ]</t>
  </si>
  <si>
    <t>Medición</t>
  </si>
  <si>
    <t>Max</t>
  </si>
  <si>
    <t>Min</t>
  </si>
  <si>
    <t>Rango</t>
  </si>
  <si>
    <t>Media de medias</t>
  </si>
  <si>
    <t>Rango promedio</t>
  </si>
  <si>
    <t>ES</t>
  </si>
  <si>
    <t>Cpi</t>
  </si>
  <si>
    <t>Nomilanl</t>
  </si>
  <si>
    <t>Cps</t>
  </si>
  <si>
    <t>EI</t>
  </si>
  <si>
    <t>Cpk</t>
  </si>
  <si>
    <t>d2</t>
  </si>
  <si>
    <t>Ppi</t>
  </si>
  <si>
    <t>Desv. Corto</t>
  </si>
  <si>
    <t>Pps</t>
  </si>
  <si>
    <t>Desv. Largo</t>
  </si>
  <si>
    <t>Ppk</t>
  </si>
  <si>
    <t>Cp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</si>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</sst>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%"/>
    <numFmt numFmtId="166" formatCode="0.00000"/>
    <numFmt numFmtId="167" formatCode="0.000"/>
    <numFmt numFmtId="168" formatCode="0.0000E+00"/>
    <numFmt numFmtId="169" formatCode="0.0000%"/>
    <numFmt numFmtId="170" formatCode="0.0E+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ymbol"/>
      <family val="1"/>
      <charset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Symbol"/>
      <family val="1"/>
      <charset val="2"/>
    </font>
    <font>
      <b/>
      <sz val="10"/>
      <color theme="1"/>
      <name val="Aptos Narrow"/>
      <family val="1"/>
      <charset val="2"/>
      <scheme val="minor"/>
    </font>
    <font>
      <b/>
      <sz val="11"/>
      <color theme="1"/>
      <name val="Aptos Narrow"/>
      <family val="1"/>
      <charset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7" xfId="0" applyFont="1" applyBorder="1" applyAlignment="1">
      <alignment wrapText="1"/>
    </xf>
    <xf numFmtId="0" fontId="2" fillId="0" borderId="8" xfId="0" applyFont="1" applyBorder="1"/>
    <xf numFmtId="0" fontId="2" fillId="0" borderId="9" xfId="0" applyFont="1" applyBorder="1"/>
    <xf numFmtId="0" fontId="2" fillId="0" borderId="11" xfId="0" applyFont="1" applyBorder="1"/>
    <xf numFmtId="165" fontId="0" fillId="0" borderId="9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4" borderId="6" xfId="0" applyFill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/>
    <xf numFmtId="0" fontId="0" fillId="0" borderId="2" xfId="0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4" xfId="1" applyNumberFormat="1" applyFont="1" applyBorder="1" applyAlignment="1">
      <alignment horizontal="center" vertical="center"/>
    </xf>
    <xf numFmtId="0" fontId="0" fillId="0" borderId="5" xfId="1" applyNumberFormat="1" applyFont="1" applyBorder="1" applyAlignment="1">
      <alignment horizontal="center"/>
    </xf>
    <xf numFmtId="0" fontId="0" fillId="0" borderId="6" xfId="1" applyNumberFormat="1" applyFont="1" applyBorder="1" applyAlignment="1">
      <alignment horizontal="center"/>
    </xf>
    <xf numFmtId="0" fontId="0" fillId="0" borderId="12" xfId="1" applyNumberFormat="1" applyFont="1" applyBorder="1" applyAlignment="1">
      <alignment horizontal="center"/>
    </xf>
    <xf numFmtId="0" fontId="2" fillId="4" borderId="8" xfId="0" applyFont="1" applyFill="1" applyBorder="1"/>
    <xf numFmtId="0" fontId="2" fillId="4" borderId="11" xfId="0" applyFont="1" applyFill="1" applyBorder="1"/>
    <xf numFmtId="164" fontId="0" fillId="0" borderId="9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7" fontId="0" fillId="0" borderId="5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4" borderId="12" xfId="0" applyNumberFormat="1" applyFill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167" fontId="0" fillId="4" borderId="5" xfId="0" applyNumberFormat="1" applyFill="1" applyBorder="1" applyAlignment="1">
      <alignment horizontal="center"/>
    </xf>
    <xf numFmtId="16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11" fontId="0" fillId="0" borderId="8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1" fontId="0" fillId="0" borderId="9" xfId="0" applyNumberFormat="1" applyBorder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7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7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4" borderId="0" xfId="0" applyFill="1" applyAlignment="1">
      <alignment horizontal="center"/>
    </xf>
    <xf numFmtId="10" fontId="0" fillId="0" borderId="0" xfId="0" applyNumberFormat="1"/>
    <xf numFmtId="10" fontId="0" fillId="0" borderId="2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3" xfId="0" applyBorder="1"/>
    <xf numFmtId="11" fontId="0" fillId="0" borderId="0" xfId="0" applyNumberFormat="1"/>
    <xf numFmtId="9" fontId="0" fillId="0" borderId="0" xfId="1" applyFont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9" fontId="0" fillId="0" borderId="3" xfId="1" applyFont="1" applyBorder="1" applyAlignment="1">
      <alignment horizontal="center"/>
    </xf>
    <xf numFmtId="170" fontId="0" fillId="0" borderId="0" xfId="0" applyNumberFormat="1" applyAlignment="1">
      <alignment horizontal="center"/>
    </xf>
    <xf numFmtId="9" fontId="5" fillId="0" borderId="0" xfId="0" applyNumberFormat="1" applyFont="1" applyAlignment="1">
      <alignment horizontal="center"/>
    </xf>
    <xf numFmtId="10" fontId="5" fillId="0" borderId="0" xfId="1" applyNumberFormat="1" applyFont="1" applyBorder="1" applyAlignment="1">
      <alignment horizontal="center"/>
    </xf>
    <xf numFmtId="10" fontId="5" fillId="0" borderId="3" xfId="1" applyNumberFormat="1" applyFon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0" fillId="0" borderId="6" xfId="0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7" fontId="0" fillId="5" borderId="6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/>
    </xf>
    <xf numFmtId="10" fontId="0" fillId="0" borderId="0" xfId="1" applyNumberFormat="1" applyFont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168" fontId="0" fillId="0" borderId="0" xfId="0" applyNumberFormat="1"/>
    <xf numFmtId="0" fontId="2" fillId="2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'Lote 1'!$C$2:$G$2</c:f>
              <c:strCache>
                <c:ptCount val="1"/>
                <c:pt idx="0">
                  <c:v>Pellets/g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6.1324365704286961E-2"/>
                  <c:y val="-3.69787109944590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'Lote 1'!$B$4:$B$14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1'!$H$4:$H$14</c:f>
              <c:numCache>
                <c:formatCode>General</c:formatCode>
                <c:ptCount val="11"/>
                <c:pt idx="0">
                  <c:v>1502</c:v>
                </c:pt>
                <c:pt idx="1">
                  <c:v>1510</c:v>
                </c:pt>
                <c:pt idx="2">
                  <c:v>1498</c:v>
                </c:pt>
                <c:pt idx="3">
                  <c:v>1477</c:v>
                </c:pt>
                <c:pt idx="4">
                  <c:v>1457</c:v>
                </c:pt>
                <c:pt idx="5">
                  <c:v>1443</c:v>
                </c:pt>
                <c:pt idx="6">
                  <c:v>1404</c:v>
                </c:pt>
                <c:pt idx="7">
                  <c:v>1390</c:v>
                </c:pt>
                <c:pt idx="8">
                  <c:v>1378</c:v>
                </c:pt>
                <c:pt idx="9">
                  <c:v>1375</c:v>
                </c:pt>
                <c:pt idx="10">
                  <c:v>1345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CD-4AF0-847B-CAE4C451B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583"/>
        <c:axId val="1440825503"/>
      </c:scatterChart>
      <c:valAx>
        <c:axId val="144083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Tiempo</a:t>
                </a:r>
                <a:r>
                  <a:rPr lang="es-CO" sz="1050" b="1" baseline="0"/>
                  <a:t> de recubrimiento [min]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25503"/>
        <c:crosses val="autoZero"/>
        <c:crossBetween val="midCat"/>
        <c:majorUnit val="20"/>
      </c:valAx>
      <c:valAx>
        <c:axId val="144082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Pellets</a:t>
                </a:r>
                <a:r>
                  <a:rPr lang="es-CO" sz="1050" b="1" baseline="0"/>
                  <a:t> / g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'Lote 1'!$O$2:$Q$2</c:f>
              <c:strCache>
                <c:ptCount val="1"/>
                <c:pt idx="0">
                  <c:v>Espesor [mm] Microscopio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'Lote 1'!$B$4:$B$14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1'!$R$4:$R$14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81-4657-AFCA-995135CD3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583"/>
        <c:axId val="1440825503"/>
      </c:scatterChart>
      <c:valAx>
        <c:axId val="144083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Tiempo</a:t>
                </a:r>
                <a:r>
                  <a:rPr lang="es-CO" sz="1050" b="1" baseline="0"/>
                  <a:t> de recubrimiento [min]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25503"/>
        <c:crosses val="autoZero"/>
        <c:crossBetween val="midCat"/>
        <c:majorUnit val="20"/>
      </c:valAx>
      <c:valAx>
        <c:axId val="14408255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 baseline="0"/>
                  <a:t>Espesor [mm]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'Lote 2'!$C$2:$G$2</c:f>
              <c:strCache>
                <c:ptCount val="1"/>
                <c:pt idx="0">
                  <c:v>Pellets/g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9.864391951006124E-2"/>
                  <c:y val="1.83220326625838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'Lote 2'!$B$4:$B$14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2'!$H$4:$H$14</c:f>
              <c:numCache>
                <c:formatCode>General</c:formatCode>
                <c:ptCount val="11"/>
                <c:pt idx="0">
                  <c:v>1515</c:v>
                </c:pt>
                <c:pt idx="1">
                  <c:v>1521</c:v>
                </c:pt>
                <c:pt idx="2">
                  <c:v>1503</c:v>
                </c:pt>
                <c:pt idx="3">
                  <c:v>1493</c:v>
                </c:pt>
                <c:pt idx="4">
                  <c:v>1469</c:v>
                </c:pt>
                <c:pt idx="5">
                  <c:v>1438</c:v>
                </c:pt>
                <c:pt idx="6">
                  <c:v>1408</c:v>
                </c:pt>
                <c:pt idx="7">
                  <c:v>1386</c:v>
                </c:pt>
                <c:pt idx="8">
                  <c:v>1364</c:v>
                </c:pt>
                <c:pt idx="9">
                  <c:v>1351</c:v>
                </c:pt>
                <c:pt idx="10">
                  <c:v>1348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69-4F35-BD99-481F5098B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583"/>
        <c:axId val="1440825503"/>
      </c:scatterChart>
      <c:valAx>
        <c:axId val="144083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Tiempo</a:t>
                </a:r>
                <a:r>
                  <a:rPr lang="es-CO" sz="1050" b="1" baseline="0"/>
                  <a:t> de recubrimiento [min]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25503"/>
        <c:crosses val="autoZero"/>
        <c:crossBetween val="midCat"/>
        <c:majorUnit val="20"/>
      </c:valAx>
      <c:valAx>
        <c:axId val="144082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Pellets</a:t>
                </a:r>
                <a:r>
                  <a:rPr lang="es-CO" sz="1050" b="1" baseline="0"/>
                  <a:t> / g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'Lote 2'!$O$2:$Q$2</c:f>
              <c:strCache>
                <c:ptCount val="1"/>
                <c:pt idx="0">
                  <c:v>Espesor [mm] Microscopio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'Lote 2'!$B$4:$B$14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2'!$R$4:$R$14</c:f>
              <c:numCache>
                <c:formatCode>General</c:formatCode>
                <c:ptCount val="11"/>
                <c:pt idx="0">
                  <c:v>0</c:v>
                </c:pt>
                <c:pt idx="1">
                  <c:v>8.0000000000000002E-3</c:v>
                </c:pt>
                <c:pt idx="2">
                  <c:v>1.2999999999999999E-2</c:v>
                </c:pt>
                <c:pt idx="3">
                  <c:v>1.6E-2</c:v>
                </c:pt>
                <c:pt idx="4">
                  <c:v>3.2000000000000001E-2</c:v>
                </c:pt>
                <c:pt idx="5">
                  <c:v>3.6999999999999998E-2</c:v>
                </c:pt>
                <c:pt idx="6">
                  <c:v>3.7999999999999999E-2</c:v>
                </c:pt>
                <c:pt idx="7">
                  <c:v>4.2999999999999997E-2</c:v>
                </c:pt>
                <c:pt idx="8">
                  <c:v>4.4400000000000002E-2</c:v>
                </c:pt>
                <c:pt idx="9">
                  <c:v>4.5999999999999999E-2</c:v>
                </c:pt>
                <c:pt idx="10">
                  <c:v>5.5599999999999997E-2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9E-4A2D-9221-DAEBF6516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583"/>
        <c:axId val="1440825503"/>
      </c:scatterChart>
      <c:valAx>
        <c:axId val="144083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Tiempo</a:t>
                </a:r>
                <a:r>
                  <a:rPr lang="es-CO" sz="1050" b="1" baseline="0"/>
                  <a:t> de recubrimiento [min]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25503"/>
        <c:crosses val="autoZero"/>
        <c:crossBetween val="midCat"/>
        <c:majorUnit val="20"/>
      </c:valAx>
      <c:valAx>
        <c:axId val="144082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Espesor [mm]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'Lote 3'!$C$2:$G$2</c:f>
              <c:strCache>
                <c:ptCount val="1"/>
                <c:pt idx="0">
                  <c:v>Pellets/g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8.2728783902012243E-2"/>
                  <c:y val="-0.521112569262175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'Lote 3'!$B$4:$B$14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3'!$H$4:$H$14</c:f>
              <c:numCache>
                <c:formatCode>General</c:formatCode>
                <c:ptCount val="11"/>
                <c:pt idx="0">
                  <c:v>1526</c:v>
                </c:pt>
                <c:pt idx="1">
                  <c:v>1503</c:v>
                </c:pt>
                <c:pt idx="2">
                  <c:v>1481</c:v>
                </c:pt>
                <c:pt idx="3">
                  <c:v>1458</c:v>
                </c:pt>
                <c:pt idx="4">
                  <c:v>1445</c:v>
                </c:pt>
                <c:pt idx="5">
                  <c:v>1398</c:v>
                </c:pt>
                <c:pt idx="6">
                  <c:v>1383</c:v>
                </c:pt>
                <c:pt idx="7">
                  <c:v>1366</c:v>
                </c:pt>
                <c:pt idx="8">
                  <c:v>1347</c:v>
                </c:pt>
                <c:pt idx="9">
                  <c:v>1324</c:v>
                </c:pt>
                <c:pt idx="10">
                  <c:v>1330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E2-4866-9DE8-509638D9F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583"/>
        <c:axId val="1440825503"/>
      </c:scatterChart>
      <c:valAx>
        <c:axId val="144083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Tiempo</a:t>
                </a:r>
                <a:r>
                  <a:rPr lang="es-CO" sz="1050" b="1" baseline="0"/>
                  <a:t> de recubrimiento [min]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25503"/>
        <c:crosses val="autoZero"/>
        <c:crossBetween val="midCat"/>
        <c:majorUnit val="20"/>
      </c:valAx>
      <c:valAx>
        <c:axId val="144082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Pellets</a:t>
                </a:r>
                <a:r>
                  <a:rPr lang="es-CO" sz="1050" b="1" baseline="0"/>
                  <a:t> / g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'Lote 3'!$O$2:$Q$2</c:f>
              <c:strCache>
                <c:ptCount val="1"/>
                <c:pt idx="0">
                  <c:v>Espesor [mm] Microscopio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'Lote 3'!$B$4:$B$14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3'!$R$4:$R$14</c:f>
              <c:numCache>
                <c:formatCode>0.0000</c:formatCode>
                <c:ptCount val="11"/>
                <c:pt idx="0">
                  <c:v>0</c:v>
                </c:pt>
                <c:pt idx="1">
                  <c:v>1.2E-2</c:v>
                </c:pt>
                <c:pt idx="2">
                  <c:v>1.4E-2</c:v>
                </c:pt>
                <c:pt idx="3">
                  <c:v>1.7999999999999999E-2</c:v>
                </c:pt>
                <c:pt idx="4">
                  <c:v>1.9E-2</c:v>
                </c:pt>
                <c:pt idx="5">
                  <c:v>0.02</c:v>
                </c:pt>
                <c:pt idx="6">
                  <c:v>2.3E-2</c:v>
                </c:pt>
                <c:pt idx="7">
                  <c:v>2.4E-2</c:v>
                </c:pt>
                <c:pt idx="8">
                  <c:v>2.7E-2</c:v>
                </c:pt>
                <c:pt idx="9">
                  <c:v>2.5000000000000001E-2</c:v>
                </c:pt>
                <c:pt idx="10">
                  <c:v>3.1E-2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A2-456E-82B6-66BF571F6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583"/>
        <c:axId val="1440825503"/>
      </c:scatterChart>
      <c:valAx>
        <c:axId val="144083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Tiempo</a:t>
                </a:r>
                <a:r>
                  <a:rPr lang="es-CO" sz="1050" b="1" baseline="0"/>
                  <a:t> de recubrimiento [min]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25503"/>
        <c:crosses val="autoZero"/>
        <c:crossBetween val="midCat"/>
        <c:majorUnit val="20"/>
      </c:valAx>
      <c:valAx>
        <c:axId val="144082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 baseline="0"/>
                  <a:t>Espesor [mm]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'Lote 4'!$C$2:$G$2</c:f>
              <c:strCache>
                <c:ptCount val="1"/>
                <c:pt idx="0">
                  <c:v>Pellets/g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6.3617672790901136E-2"/>
                  <c:y val="-0.574498760571595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'Lote 4'!$B$4:$B$14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4'!$H$4:$H$14</c:f>
              <c:numCache>
                <c:formatCode>General</c:formatCode>
                <c:ptCount val="11"/>
                <c:pt idx="0">
                  <c:v>1502</c:v>
                </c:pt>
                <c:pt idx="1">
                  <c:v>1497</c:v>
                </c:pt>
                <c:pt idx="2">
                  <c:v>1489</c:v>
                </c:pt>
                <c:pt idx="3">
                  <c:v>1462</c:v>
                </c:pt>
                <c:pt idx="4">
                  <c:v>1451</c:v>
                </c:pt>
                <c:pt idx="5">
                  <c:v>1421</c:v>
                </c:pt>
                <c:pt idx="6">
                  <c:v>1395</c:v>
                </c:pt>
                <c:pt idx="7">
                  <c:v>1382</c:v>
                </c:pt>
                <c:pt idx="8">
                  <c:v>1356</c:v>
                </c:pt>
                <c:pt idx="9">
                  <c:v>1334</c:v>
                </c:pt>
                <c:pt idx="10">
                  <c:v>1331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B6-4A03-96D9-3ACB810A9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583"/>
        <c:axId val="1440825503"/>
      </c:scatterChart>
      <c:valAx>
        <c:axId val="144083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Tiempo</a:t>
                </a:r>
                <a:r>
                  <a:rPr lang="es-CO" sz="1050" b="1" baseline="0"/>
                  <a:t> de recubrimiento [min]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25503"/>
        <c:crosses val="autoZero"/>
        <c:crossBetween val="midCat"/>
        <c:majorUnit val="20"/>
      </c:valAx>
      <c:valAx>
        <c:axId val="144082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Pellets</a:t>
                </a:r>
                <a:r>
                  <a:rPr lang="es-CO" sz="1050" b="1" baseline="0"/>
                  <a:t> / g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'Lote 4'!$O$2:$Q$2</c:f>
              <c:strCache>
                <c:ptCount val="1"/>
                <c:pt idx="0">
                  <c:v>Espesor [mm] Microscopio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'Lote 4'!$B$4:$B$14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4'!$R$4:$R$14</c:f>
              <c:numCache>
                <c:formatCode>0.00000</c:formatCode>
                <c:ptCount val="11"/>
                <c:pt idx="0">
                  <c:v>0</c:v>
                </c:pt>
                <c:pt idx="1">
                  <c:v>1.43E-2</c:v>
                </c:pt>
                <c:pt idx="2">
                  <c:v>1.5900000000000001E-2</c:v>
                </c:pt>
                <c:pt idx="3">
                  <c:v>1.9E-2</c:v>
                </c:pt>
                <c:pt idx="4">
                  <c:v>2.2200000000000001E-2</c:v>
                </c:pt>
                <c:pt idx="5">
                  <c:v>3.0200000000000001E-2</c:v>
                </c:pt>
                <c:pt idx="6">
                  <c:v>3.49E-2</c:v>
                </c:pt>
                <c:pt idx="7">
                  <c:v>3.6499999999999998E-2</c:v>
                </c:pt>
                <c:pt idx="8">
                  <c:v>4.1300000000000003E-2</c:v>
                </c:pt>
                <c:pt idx="9">
                  <c:v>4.48E-2</c:v>
                </c:pt>
                <c:pt idx="10">
                  <c:v>5.0799999999999998E-2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E8-45CD-BA36-5D92E1833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583"/>
        <c:axId val="1440825503"/>
      </c:scatterChart>
      <c:valAx>
        <c:axId val="144083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Tiempo</a:t>
                </a:r>
                <a:r>
                  <a:rPr lang="es-CO" sz="1050" b="1" baseline="0"/>
                  <a:t> de recubrimiento [min]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25503"/>
        <c:crosses val="autoZero"/>
        <c:crossBetween val="midCat"/>
        <c:majorUnit val="20"/>
      </c:valAx>
      <c:valAx>
        <c:axId val="144082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 baseline="0"/>
                  <a:t>Espesor [mm]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77958676218105"/>
          <c:y val="4.1325956577703778E-2"/>
          <c:w val="0.79660387188443549"/>
          <c:h val="0.8285871322083582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'%Ganancia'!$A$1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'%Ganancia'!$S$4:$S$14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210</c:v>
                </c:pt>
              </c:numCache>
            </c:numRef>
          </c:xVal>
          <c:yVal>
            <c:numRef>
              <c:f>'%Ganancia'!$Y$4:$Y$14</c:f>
              <c:numCache>
                <c:formatCode>0.0%</c:formatCode>
                <c:ptCount val="11"/>
                <c:pt idx="0" formatCode="General">
                  <c:v>0</c:v>
                </c:pt>
                <c:pt idx="1">
                  <c:v>7.7990410572118375E-4</c:v>
                </c:pt>
                <c:pt idx="2">
                  <c:v>8.6516572854604193E-3</c:v>
                </c:pt>
                <c:pt idx="3">
                  <c:v>2.3009634427362861E-2</c:v>
                </c:pt>
                <c:pt idx="4">
                  <c:v>3.7508008703882524E-2</c:v>
                </c:pt>
                <c:pt idx="5">
                  <c:v>4.7515204702170057E-2</c:v>
                </c:pt>
                <c:pt idx="6">
                  <c:v>7.6615269671776287E-2</c:v>
                </c:pt>
                <c:pt idx="7">
                  <c:v>8.7140315310167832E-2</c:v>
                </c:pt>
                <c:pt idx="8">
                  <c:v>9.6245282283375339E-2</c:v>
                </c:pt>
                <c:pt idx="9">
                  <c:v>9.8678310172776687E-2</c:v>
                </c:pt>
                <c:pt idx="10" formatCode="0.0000%">
                  <c:v>0.12364486220976086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51-482B-9419-F2070A6C10B1}"/>
            </c:ext>
          </c:extLst>
        </c:ser>
        <c:ser>
          <c:idx val="1"/>
          <c:order val="1"/>
          <c:tx>
            <c:strRef>
              <c:f>'%Ganancia'!$A$16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'%Ganancia'!$S$19:$S$29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210</c:v>
                </c:pt>
              </c:numCache>
            </c:numRef>
          </c:xVal>
          <c:yVal>
            <c:numRef>
              <c:f>'%Ganancia'!$Y$19:$Y$29</c:f>
              <c:numCache>
                <c:formatCode>0.0%</c:formatCode>
                <c:ptCount val="11"/>
                <c:pt idx="0" formatCode="General">
                  <c:v>0</c:v>
                </c:pt>
                <c:pt idx="1">
                  <c:v>7.1251874058305964E-3</c:v>
                </c:pt>
                <c:pt idx="2">
                  <c:v>6.858627833415341E-3</c:v>
                </c:pt>
                <c:pt idx="3">
                  <c:v>1.2016237194735503E-2</c:v>
                </c:pt>
                <c:pt idx="4">
                  <c:v>2.8857826713132056E-2</c:v>
                </c:pt>
                <c:pt idx="5">
                  <c:v>5.0755578857861652E-2</c:v>
                </c:pt>
                <c:pt idx="6">
                  <c:v>7.327264581551958E-2</c:v>
                </c:pt>
                <c:pt idx="7">
                  <c:v>9.0567554797649011E-2</c:v>
                </c:pt>
                <c:pt idx="8">
                  <c:v>0.1080144450718975</c:v>
                </c:pt>
                <c:pt idx="9">
                  <c:v>0.11850413665752491</c:v>
                </c:pt>
                <c:pt idx="10">
                  <c:v>0.12133157467118924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51-482B-9419-F2070A6C10B1}"/>
            </c:ext>
          </c:extLst>
        </c:ser>
        <c:ser>
          <c:idx val="2"/>
          <c:order val="2"/>
          <c:tx>
            <c:strRef>
              <c:f>'%Ganancia'!$A$31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'%Ganancia'!$S$34:$S$44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210</c:v>
                </c:pt>
              </c:numCache>
            </c:numRef>
          </c:xVal>
          <c:yVal>
            <c:numRef>
              <c:f>'%Ganancia'!$Y$34:$Y$44</c:f>
              <c:numCache>
                <c:formatCode>0.0%</c:formatCode>
                <c:ptCount val="11"/>
                <c:pt idx="0" formatCode="General">
                  <c:v>0</c:v>
                </c:pt>
                <c:pt idx="1">
                  <c:v>5.7391875522073976E-3</c:v>
                </c:pt>
                <c:pt idx="2">
                  <c:v>2.0364028619254813E-2</c:v>
                </c:pt>
                <c:pt idx="3">
                  <c:v>3.6743298414499456E-2</c:v>
                </c:pt>
                <c:pt idx="4">
                  <c:v>4.6057261537772468E-2</c:v>
                </c:pt>
                <c:pt idx="5">
                  <c:v>8.1094397836225976E-2</c:v>
                </c:pt>
                <c:pt idx="6">
                  <c:v>9.2510049328270533E-2</c:v>
                </c:pt>
                <c:pt idx="7">
                  <c:v>0.10659640393396852</c:v>
                </c:pt>
                <c:pt idx="8">
                  <c:v>0.12216454064111751</c:v>
                </c:pt>
                <c:pt idx="9">
                  <c:v>0.14139641865750402</c:v>
                </c:pt>
                <c:pt idx="10">
                  <c:v>0.13633194560050796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D51-482B-9419-F2070A6C10B1}"/>
            </c:ext>
          </c:extLst>
        </c:ser>
        <c:ser>
          <c:idx val="3"/>
          <c:order val="3"/>
          <c:tx>
            <c:strRef>
              <c:f>'%Ganancia'!$A$46:$Y$46</c:f>
              <c:strCache>
                <c:ptCount val="1"/>
                <c:pt idx="0">
                  <c:v>Lote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'%Ganancia'!$B$49:$B$59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210</c:v>
                </c:pt>
              </c:numCache>
            </c:numRef>
          </c:xVal>
          <c:yVal>
            <c:numRef>
              <c:f>'%Ganancia'!$Y$49:$Y$59</c:f>
              <c:numCache>
                <c:formatCode>0.0%</c:formatCode>
                <c:ptCount val="11"/>
                <c:pt idx="0" formatCode="General">
                  <c:v>0</c:v>
                </c:pt>
                <c:pt idx="1">
                  <c:v>9.5658496170933378E-3</c:v>
                </c:pt>
                <c:pt idx="2">
                  <c:v>1.499023636770111E-2</c:v>
                </c:pt>
                <c:pt idx="3">
                  <c:v>3.3749885282838385E-2</c:v>
                </c:pt>
                <c:pt idx="4">
                  <c:v>4.1349163508865333E-2</c:v>
                </c:pt>
                <c:pt idx="5">
                  <c:v>6.3592105762038331E-2</c:v>
                </c:pt>
                <c:pt idx="6">
                  <c:v>8.3521436732169843E-2</c:v>
                </c:pt>
                <c:pt idx="7">
                  <c:v>9.3295931656609848E-2</c:v>
                </c:pt>
                <c:pt idx="8">
                  <c:v>0.11463574770403469</c:v>
                </c:pt>
                <c:pt idx="9">
                  <c:v>0.13291338477520992</c:v>
                </c:pt>
                <c:pt idx="10">
                  <c:v>0.13568972993871214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61-45B3-A492-68E5672C5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644159"/>
        <c:axId val="577648479"/>
      </c:scatterChart>
      <c:valAx>
        <c:axId val="577644159"/>
        <c:scaling>
          <c:orientation val="minMax"/>
          <c:max val="2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Tiempo de recubrimiento [min]</a:t>
                </a:r>
              </a:p>
            </c:rich>
          </c:tx>
          <c:layout>
            <c:manualLayout>
              <c:xMode val="edge"/>
              <c:yMode val="edge"/>
              <c:x val="0.34748397561098704"/>
              <c:y val="0.926740225409336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7648479"/>
        <c:crosses val="autoZero"/>
        <c:crossBetween val="midCat"/>
        <c:majorUnit val="20"/>
      </c:valAx>
      <c:valAx>
        <c:axId val="5776484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%Ganancia en peso</a:t>
                </a:r>
              </a:p>
            </c:rich>
          </c:tx>
          <c:layout>
            <c:manualLayout>
              <c:xMode val="edge"/>
              <c:yMode val="edge"/>
              <c:x val="2.1981868870223249E-2"/>
              <c:y val="0.383101657930468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7644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975904327748504"/>
          <c:y val="0.15187785596135558"/>
          <c:w val="0.18074667326701185"/>
          <c:h val="0.21310325386317638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09046885744451"/>
          <c:y val="5.3724053724053727E-2"/>
          <c:w val="0.80171407540847051"/>
          <c:h val="0.7687007874015747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Resumen!$C$1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Resumen!$C$3:$C$13</c:f>
              <c:numCache>
                <c:formatCode>General</c:formatCode>
                <c:ptCount val="11"/>
                <c:pt idx="0">
                  <c:v>1502</c:v>
                </c:pt>
                <c:pt idx="1">
                  <c:v>1510</c:v>
                </c:pt>
                <c:pt idx="2">
                  <c:v>1498</c:v>
                </c:pt>
                <c:pt idx="3">
                  <c:v>1477</c:v>
                </c:pt>
                <c:pt idx="4">
                  <c:v>1457</c:v>
                </c:pt>
                <c:pt idx="5">
                  <c:v>1443</c:v>
                </c:pt>
                <c:pt idx="6">
                  <c:v>1404</c:v>
                </c:pt>
                <c:pt idx="7">
                  <c:v>1390</c:v>
                </c:pt>
                <c:pt idx="8">
                  <c:v>1378</c:v>
                </c:pt>
                <c:pt idx="9">
                  <c:v>1375</c:v>
                </c:pt>
                <c:pt idx="10">
                  <c:v>1345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FA-4CA4-B4C3-C829B9238CA5}"/>
            </c:ext>
          </c:extLst>
        </c:ser>
        <c:ser>
          <c:idx val="1"/>
          <c:order val="1"/>
          <c:tx>
            <c:strRef>
              <c:f>Resumen!$H$1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Resumen!$H$3:$H$13</c:f>
              <c:numCache>
                <c:formatCode>General</c:formatCode>
                <c:ptCount val="11"/>
                <c:pt idx="0">
                  <c:v>1515</c:v>
                </c:pt>
                <c:pt idx="1">
                  <c:v>1521</c:v>
                </c:pt>
                <c:pt idx="2">
                  <c:v>1503</c:v>
                </c:pt>
                <c:pt idx="3">
                  <c:v>1493</c:v>
                </c:pt>
                <c:pt idx="4">
                  <c:v>1469</c:v>
                </c:pt>
                <c:pt idx="5">
                  <c:v>1438</c:v>
                </c:pt>
                <c:pt idx="6">
                  <c:v>1408</c:v>
                </c:pt>
                <c:pt idx="7">
                  <c:v>1386</c:v>
                </c:pt>
                <c:pt idx="8">
                  <c:v>1364</c:v>
                </c:pt>
                <c:pt idx="9">
                  <c:v>1351</c:v>
                </c:pt>
                <c:pt idx="10">
                  <c:v>1348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FA-4CA4-B4C3-C829B9238CA5}"/>
            </c:ext>
          </c:extLst>
        </c:ser>
        <c:ser>
          <c:idx val="2"/>
          <c:order val="2"/>
          <c:tx>
            <c:strRef>
              <c:f>Resumen!$M$1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Resumen!$M$3:$M$13</c:f>
              <c:numCache>
                <c:formatCode>General</c:formatCode>
                <c:ptCount val="11"/>
                <c:pt idx="0">
                  <c:v>1526</c:v>
                </c:pt>
                <c:pt idx="1">
                  <c:v>1503</c:v>
                </c:pt>
                <c:pt idx="2">
                  <c:v>1481</c:v>
                </c:pt>
                <c:pt idx="3">
                  <c:v>1458</c:v>
                </c:pt>
                <c:pt idx="4">
                  <c:v>1445</c:v>
                </c:pt>
                <c:pt idx="5">
                  <c:v>1398</c:v>
                </c:pt>
                <c:pt idx="6">
                  <c:v>1383</c:v>
                </c:pt>
                <c:pt idx="7">
                  <c:v>1366</c:v>
                </c:pt>
                <c:pt idx="8">
                  <c:v>1347</c:v>
                </c:pt>
                <c:pt idx="9">
                  <c:v>1324</c:v>
                </c:pt>
                <c:pt idx="10">
                  <c:v>1330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FA-4CA4-B4C3-C829B9238CA5}"/>
            </c:ext>
          </c:extLst>
        </c:ser>
        <c:ser>
          <c:idx val="3"/>
          <c:order val="3"/>
          <c:tx>
            <c:strRef>
              <c:f>Resumen!$R$1</c:f>
              <c:strCache>
                <c:ptCount val="1"/>
                <c:pt idx="0">
                  <c:v>Lote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Resumen!$R$3:$R$13</c:f>
              <c:numCache>
                <c:formatCode>General</c:formatCode>
                <c:ptCount val="11"/>
                <c:pt idx="0">
                  <c:v>1502</c:v>
                </c:pt>
                <c:pt idx="1">
                  <c:v>1497</c:v>
                </c:pt>
                <c:pt idx="2">
                  <c:v>1489</c:v>
                </c:pt>
                <c:pt idx="3">
                  <c:v>1462</c:v>
                </c:pt>
                <c:pt idx="4">
                  <c:v>1451</c:v>
                </c:pt>
                <c:pt idx="5">
                  <c:v>1421</c:v>
                </c:pt>
                <c:pt idx="6">
                  <c:v>1395</c:v>
                </c:pt>
                <c:pt idx="7">
                  <c:v>1382</c:v>
                </c:pt>
                <c:pt idx="8">
                  <c:v>1356</c:v>
                </c:pt>
                <c:pt idx="9">
                  <c:v>1334</c:v>
                </c:pt>
                <c:pt idx="10">
                  <c:v>1331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F6-4BE2-9670-5B3D7699E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103"/>
        <c:axId val="1440832703"/>
      </c:scatterChart>
      <c:valAx>
        <c:axId val="144083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Tiempo de recubrimiento</a:t>
                </a:r>
              </a:p>
            </c:rich>
          </c:tx>
          <c:layout>
            <c:manualLayout>
              <c:xMode val="edge"/>
              <c:yMode val="edge"/>
              <c:x val="0.42494755498736092"/>
              <c:y val="0.902123444246888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2703"/>
        <c:crosses val="autoZero"/>
        <c:crossBetween val="midCat"/>
        <c:majorUnit val="20"/>
      </c:valAx>
      <c:valAx>
        <c:axId val="144083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Pellets/g</a:t>
                </a:r>
              </a:p>
            </c:rich>
          </c:tx>
          <c:layout>
            <c:manualLayout>
              <c:xMode val="edge"/>
              <c:yMode val="edge"/>
              <c:x val="2.3003941850442123E-2"/>
              <c:y val="0.35482830271216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863155036654901"/>
          <c:y val="6.2219305920093324E-2"/>
          <c:w val="0.2309844028117175"/>
          <c:h val="0.2472544778056589"/>
        </c:manualLayout>
      </c:layout>
      <c:overlay val="0"/>
      <c:spPr>
        <a:solidFill>
          <a:schemeClr val="lt1"/>
        </a:solidFill>
        <a:ln w="9525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09046885744451"/>
          <c:y val="5.3724053724053727E-2"/>
          <c:w val="0.80171407540847051"/>
          <c:h val="0.7687007874015747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Resumen!$C$1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Resumen!$F$3:$F$13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0F-4FA8-8115-946EC12991EC}"/>
            </c:ext>
          </c:extLst>
        </c:ser>
        <c:ser>
          <c:idx val="1"/>
          <c:order val="1"/>
          <c:tx>
            <c:strRef>
              <c:f>Resumen!$H$1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Resumen!$K$3:$K$13</c:f>
              <c:numCache>
                <c:formatCode>General</c:formatCode>
                <c:ptCount val="11"/>
                <c:pt idx="0">
                  <c:v>0</c:v>
                </c:pt>
                <c:pt idx="1">
                  <c:v>8.0000000000000002E-3</c:v>
                </c:pt>
                <c:pt idx="2">
                  <c:v>1.2999999999999999E-2</c:v>
                </c:pt>
                <c:pt idx="3">
                  <c:v>1.6E-2</c:v>
                </c:pt>
                <c:pt idx="4">
                  <c:v>3.2000000000000001E-2</c:v>
                </c:pt>
                <c:pt idx="5">
                  <c:v>3.6999999999999998E-2</c:v>
                </c:pt>
                <c:pt idx="6">
                  <c:v>3.7999999999999999E-2</c:v>
                </c:pt>
                <c:pt idx="7">
                  <c:v>4.2999999999999997E-2</c:v>
                </c:pt>
                <c:pt idx="8">
                  <c:v>4.4400000000000002E-2</c:v>
                </c:pt>
                <c:pt idx="9">
                  <c:v>4.5999999999999999E-2</c:v>
                </c:pt>
                <c:pt idx="10">
                  <c:v>5.5599999999999997E-2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0F-4FA8-8115-946EC12991EC}"/>
            </c:ext>
          </c:extLst>
        </c:ser>
        <c:ser>
          <c:idx val="2"/>
          <c:order val="2"/>
          <c:tx>
            <c:strRef>
              <c:f>Resumen!$M$1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Resumen!$P$3:$P$13</c:f>
              <c:numCache>
                <c:formatCode>General</c:formatCode>
                <c:ptCount val="11"/>
                <c:pt idx="0">
                  <c:v>0</c:v>
                </c:pt>
                <c:pt idx="1">
                  <c:v>1.2E-2</c:v>
                </c:pt>
                <c:pt idx="2">
                  <c:v>1.4E-2</c:v>
                </c:pt>
                <c:pt idx="3">
                  <c:v>1.7999999999999999E-2</c:v>
                </c:pt>
                <c:pt idx="4">
                  <c:v>1.9E-2</c:v>
                </c:pt>
                <c:pt idx="5">
                  <c:v>0.02</c:v>
                </c:pt>
                <c:pt idx="6">
                  <c:v>2.3E-2</c:v>
                </c:pt>
                <c:pt idx="7">
                  <c:v>2.4E-2</c:v>
                </c:pt>
                <c:pt idx="8">
                  <c:v>2.7E-2</c:v>
                </c:pt>
                <c:pt idx="9">
                  <c:v>2.5000000000000001E-2</c:v>
                </c:pt>
                <c:pt idx="10">
                  <c:v>3.1E-2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0F-4FA8-8115-946EC12991EC}"/>
            </c:ext>
          </c:extLst>
        </c:ser>
        <c:ser>
          <c:idx val="3"/>
          <c:order val="3"/>
          <c:tx>
            <c:strRef>
              <c:f>Resumen!$R$1</c:f>
              <c:strCache>
                <c:ptCount val="1"/>
                <c:pt idx="0">
                  <c:v>Lote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Resumen!$U$3:$U$13</c:f>
              <c:numCache>
                <c:formatCode>0.0000</c:formatCode>
                <c:ptCount val="11"/>
                <c:pt idx="0">
                  <c:v>0</c:v>
                </c:pt>
                <c:pt idx="1">
                  <c:v>1.43E-2</c:v>
                </c:pt>
                <c:pt idx="2">
                  <c:v>1.5900000000000001E-2</c:v>
                </c:pt>
                <c:pt idx="3">
                  <c:v>1.9E-2</c:v>
                </c:pt>
                <c:pt idx="4">
                  <c:v>2.2200000000000001E-2</c:v>
                </c:pt>
                <c:pt idx="5">
                  <c:v>3.0200000000000001E-2</c:v>
                </c:pt>
                <c:pt idx="6">
                  <c:v>3.49E-2</c:v>
                </c:pt>
                <c:pt idx="7">
                  <c:v>3.6499999999999998E-2</c:v>
                </c:pt>
                <c:pt idx="8">
                  <c:v>4.1300000000000003E-2</c:v>
                </c:pt>
                <c:pt idx="9">
                  <c:v>4.48E-2</c:v>
                </c:pt>
                <c:pt idx="10">
                  <c:v>5.0799999999999998E-2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0F-4FA8-8115-946EC1299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103"/>
        <c:axId val="1440832703"/>
      </c:scatterChart>
      <c:valAx>
        <c:axId val="144083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Tiempo de recubrimiento</a:t>
                </a:r>
              </a:p>
            </c:rich>
          </c:tx>
          <c:layout>
            <c:manualLayout>
              <c:xMode val="edge"/>
              <c:yMode val="edge"/>
              <c:x val="0.42494755498736092"/>
              <c:y val="0.902123444246888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2703"/>
        <c:crosses val="autoZero"/>
        <c:crossBetween val="midCat"/>
        <c:majorUnit val="20"/>
      </c:valAx>
      <c:valAx>
        <c:axId val="14408327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Espesor [mnm]</a:t>
                </a:r>
              </a:p>
            </c:rich>
          </c:tx>
          <c:layout>
            <c:manualLayout>
              <c:xMode val="edge"/>
              <c:yMode val="edge"/>
              <c:x val="1.2773761336098973E-2"/>
              <c:y val="0.31181737363474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988619964939808"/>
          <c:y val="9.4477182287697928E-2"/>
          <c:w val="0.2309844028117175"/>
          <c:h val="0.2472544778056589"/>
        </c:manualLayout>
      </c:layout>
      <c:overlay val="0"/>
      <c:spPr>
        <a:solidFill>
          <a:schemeClr val="lt1"/>
        </a:solidFill>
        <a:ln w="9525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0603674540684"/>
          <c:y val="5.0925925925925923E-2"/>
          <c:w val="0.81037729658792645"/>
          <c:h val="0.7438735783027121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Resumen!$C$1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Resumen!$F$3:$F$13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</c:numCache>
            </c:numRef>
          </c:xVal>
          <c:yVal>
            <c:numRef>
              <c:f>Resumen!$C$3:$C$13</c:f>
              <c:numCache>
                <c:formatCode>General</c:formatCode>
                <c:ptCount val="11"/>
                <c:pt idx="0">
                  <c:v>1502</c:v>
                </c:pt>
                <c:pt idx="1">
                  <c:v>1510</c:v>
                </c:pt>
                <c:pt idx="2">
                  <c:v>1498</c:v>
                </c:pt>
                <c:pt idx="3">
                  <c:v>1477</c:v>
                </c:pt>
                <c:pt idx="4">
                  <c:v>1457</c:v>
                </c:pt>
                <c:pt idx="5">
                  <c:v>1443</c:v>
                </c:pt>
                <c:pt idx="6">
                  <c:v>1404</c:v>
                </c:pt>
                <c:pt idx="7">
                  <c:v>1390</c:v>
                </c:pt>
                <c:pt idx="8">
                  <c:v>1378</c:v>
                </c:pt>
                <c:pt idx="9">
                  <c:v>1375</c:v>
                </c:pt>
                <c:pt idx="10">
                  <c:v>1345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11-43D2-AB23-18B4951B101F}"/>
            </c:ext>
          </c:extLst>
        </c:ser>
        <c:ser>
          <c:idx val="1"/>
          <c:order val="1"/>
          <c:tx>
            <c:strRef>
              <c:f>Resumen!$H$1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Resumen!$K$3:$K$13</c:f>
              <c:numCache>
                <c:formatCode>General</c:formatCode>
                <c:ptCount val="11"/>
                <c:pt idx="0">
                  <c:v>0</c:v>
                </c:pt>
                <c:pt idx="1">
                  <c:v>8.0000000000000002E-3</c:v>
                </c:pt>
                <c:pt idx="2">
                  <c:v>1.2999999999999999E-2</c:v>
                </c:pt>
                <c:pt idx="3">
                  <c:v>1.6E-2</c:v>
                </c:pt>
                <c:pt idx="4">
                  <c:v>3.2000000000000001E-2</c:v>
                </c:pt>
                <c:pt idx="5">
                  <c:v>3.6999999999999998E-2</c:v>
                </c:pt>
                <c:pt idx="6">
                  <c:v>3.7999999999999999E-2</c:v>
                </c:pt>
                <c:pt idx="7">
                  <c:v>4.2999999999999997E-2</c:v>
                </c:pt>
                <c:pt idx="8">
                  <c:v>4.4400000000000002E-2</c:v>
                </c:pt>
                <c:pt idx="9">
                  <c:v>4.5999999999999999E-2</c:v>
                </c:pt>
                <c:pt idx="10">
                  <c:v>5.5599999999999997E-2</c:v>
                </c:pt>
              </c:numCache>
            </c:numRef>
          </c:xVal>
          <c:yVal>
            <c:numRef>
              <c:f>Resumen!$H$3:$H$13</c:f>
              <c:numCache>
                <c:formatCode>General</c:formatCode>
                <c:ptCount val="11"/>
                <c:pt idx="0">
                  <c:v>1515</c:v>
                </c:pt>
                <c:pt idx="1">
                  <c:v>1521</c:v>
                </c:pt>
                <c:pt idx="2">
                  <c:v>1503</c:v>
                </c:pt>
                <c:pt idx="3">
                  <c:v>1493</c:v>
                </c:pt>
                <c:pt idx="4">
                  <c:v>1469</c:v>
                </c:pt>
                <c:pt idx="5">
                  <c:v>1438</c:v>
                </c:pt>
                <c:pt idx="6">
                  <c:v>1408</c:v>
                </c:pt>
                <c:pt idx="7">
                  <c:v>1386</c:v>
                </c:pt>
                <c:pt idx="8">
                  <c:v>1364</c:v>
                </c:pt>
                <c:pt idx="9">
                  <c:v>1351</c:v>
                </c:pt>
                <c:pt idx="10">
                  <c:v>1348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1-43D2-AB23-18B4951B101F}"/>
            </c:ext>
          </c:extLst>
        </c:ser>
        <c:ser>
          <c:idx val="2"/>
          <c:order val="2"/>
          <c:tx>
            <c:strRef>
              <c:f>Resumen!$M$1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Resumen!$P$3:$P$13</c:f>
              <c:numCache>
                <c:formatCode>General</c:formatCode>
                <c:ptCount val="11"/>
                <c:pt idx="0">
                  <c:v>0</c:v>
                </c:pt>
                <c:pt idx="1">
                  <c:v>1.2E-2</c:v>
                </c:pt>
                <c:pt idx="2">
                  <c:v>1.4E-2</c:v>
                </c:pt>
                <c:pt idx="3">
                  <c:v>1.7999999999999999E-2</c:v>
                </c:pt>
                <c:pt idx="4">
                  <c:v>1.9E-2</c:v>
                </c:pt>
                <c:pt idx="5">
                  <c:v>0.02</c:v>
                </c:pt>
                <c:pt idx="6">
                  <c:v>2.3E-2</c:v>
                </c:pt>
                <c:pt idx="7">
                  <c:v>2.4E-2</c:v>
                </c:pt>
                <c:pt idx="8">
                  <c:v>2.7E-2</c:v>
                </c:pt>
                <c:pt idx="9">
                  <c:v>2.5000000000000001E-2</c:v>
                </c:pt>
                <c:pt idx="10">
                  <c:v>3.1E-2</c:v>
                </c:pt>
              </c:numCache>
            </c:numRef>
          </c:xVal>
          <c:yVal>
            <c:numRef>
              <c:f>Resumen!$M$3:$M$13</c:f>
              <c:numCache>
                <c:formatCode>General</c:formatCode>
                <c:ptCount val="11"/>
                <c:pt idx="0">
                  <c:v>1526</c:v>
                </c:pt>
                <c:pt idx="1">
                  <c:v>1503</c:v>
                </c:pt>
                <c:pt idx="2">
                  <c:v>1481</c:v>
                </c:pt>
                <c:pt idx="3">
                  <c:v>1458</c:v>
                </c:pt>
                <c:pt idx="4">
                  <c:v>1445</c:v>
                </c:pt>
                <c:pt idx="5">
                  <c:v>1398</c:v>
                </c:pt>
                <c:pt idx="6">
                  <c:v>1383</c:v>
                </c:pt>
                <c:pt idx="7">
                  <c:v>1366</c:v>
                </c:pt>
                <c:pt idx="8">
                  <c:v>1347</c:v>
                </c:pt>
                <c:pt idx="9">
                  <c:v>1324</c:v>
                </c:pt>
                <c:pt idx="10">
                  <c:v>1330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11-43D2-AB23-18B4951B101F}"/>
            </c:ext>
          </c:extLst>
        </c:ser>
        <c:ser>
          <c:idx val="3"/>
          <c:order val="3"/>
          <c:tx>
            <c:strRef>
              <c:f>Resumen!$R$1</c:f>
              <c:strCache>
                <c:ptCount val="1"/>
                <c:pt idx="0">
                  <c:v>Lote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Resumen!$U$3:$U$13</c:f>
              <c:numCache>
                <c:formatCode>0.0000</c:formatCode>
                <c:ptCount val="11"/>
                <c:pt idx="0">
                  <c:v>0</c:v>
                </c:pt>
                <c:pt idx="1">
                  <c:v>1.43E-2</c:v>
                </c:pt>
                <c:pt idx="2">
                  <c:v>1.5900000000000001E-2</c:v>
                </c:pt>
                <c:pt idx="3">
                  <c:v>1.9E-2</c:v>
                </c:pt>
                <c:pt idx="4">
                  <c:v>2.2200000000000001E-2</c:v>
                </c:pt>
                <c:pt idx="5">
                  <c:v>3.0200000000000001E-2</c:v>
                </c:pt>
                <c:pt idx="6">
                  <c:v>3.49E-2</c:v>
                </c:pt>
                <c:pt idx="7">
                  <c:v>3.6499999999999998E-2</c:v>
                </c:pt>
                <c:pt idx="8">
                  <c:v>4.1300000000000003E-2</c:v>
                </c:pt>
                <c:pt idx="9">
                  <c:v>4.48E-2</c:v>
                </c:pt>
                <c:pt idx="10">
                  <c:v>5.0799999999999998E-2</c:v>
                </c:pt>
              </c:numCache>
            </c:numRef>
          </c:xVal>
          <c:yVal>
            <c:numRef>
              <c:f>Resumen!$R$3:$R$13</c:f>
              <c:numCache>
                <c:formatCode>General</c:formatCode>
                <c:ptCount val="11"/>
                <c:pt idx="0">
                  <c:v>1502</c:v>
                </c:pt>
                <c:pt idx="1">
                  <c:v>1497</c:v>
                </c:pt>
                <c:pt idx="2">
                  <c:v>1489</c:v>
                </c:pt>
                <c:pt idx="3">
                  <c:v>1462</c:v>
                </c:pt>
                <c:pt idx="4">
                  <c:v>1451</c:v>
                </c:pt>
                <c:pt idx="5">
                  <c:v>1421</c:v>
                </c:pt>
                <c:pt idx="6">
                  <c:v>1395</c:v>
                </c:pt>
                <c:pt idx="7">
                  <c:v>1382</c:v>
                </c:pt>
                <c:pt idx="8">
                  <c:v>1356</c:v>
                </c:pt>
                <c:pt idx="9">
                  <c:v>1334</c:v>
                </c:pt>
                <c:pt idx="10">
                  <c:v>1331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1-43D2-AB23-18B4951B1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320432"/>
        <c:axId val="964319472"/>
      </c:scatterChart>
      <c:valAx>
        <c:axId val="9643204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Espesor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64319472"/>
        <c:crosses val="autoZero"/>
        <c:crossBetween val="midCat"/>
      </c:valAx>
      <c:valAx>
        <c:axId val="96431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Pellet/g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6432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177001919299199"/>
          <c:y val="5.6711869349664615E-2"/>
          <c:w val="0.19718758760091895"/>
          <c:h val="0.28617047662698758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38670166229223"/>
          <c:y val="5.0925925925925923E-2"/>
          <c:w val="0.81669663167104112"/>
          <c:h val="0.74387357830271217"/>
        </c:manualLayout>
      </c:layout>
      <c:scatterChart>
        <c:scatterStyle val="smoothMarker"/>
        <c:varyColors val="0"/>
        <c:ser>
          <c:idx val="1"/>
          <c:order val="0"/>
          <c:tx>
            <c:strRef>
              <c:f>Resumen!$R$1</c:f>
              <c:strCache>
                <c:ptCount val="1"/>
                <c:pt idx="0">
                  <c:v>Lote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3"/>
            <c:intercept val="0"/>
            <c:dispRSqr val="1"/>
            <c:dispEq val="1"/>
            <c:trendlineLbl>
              <c:layout>
                <c:manualLayout>
                  <c:x val="0.13518503937007875"/>
                  <c:y val="0.55952099737532812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Resumen!$U$3:$U$13</c:f>
              <c:numCache>
                <c:formatCode>0.0000</c:formatCode>
                <c:ptCount val="11"/>
                <c:pt idx="0">
                  <c:v>0</c:v>
                </c:pt>
                <c:pt idx="1">
                  <c:v>1.43E-2</c:v>
                </c:pt>
                <c:pt idx="2">
                  <c:v>1.5900000000000001E-2</c:v>
                </c:pt>
                <c:pt idx="3">
                  <c:v>1.9E-2</c:v>
                </c:pt>
                <c:pt idx="4">
                  <c:v>2.2200000000000001E-2</c:v>
                </c:pt>
                <c:pt idx="5">
                  <c:v>3.0200000000000001E-2</c:v>
                </c:pt>
                <c:pt idx="6">
                  <c:v>3.49E-2</c:v>
                </c:pt>
                <c:pt idx="7">
                  <c:v>3.6499999999999998E-2</c:v>
                </c:pt>
                <c:pt idx="8">
                  <c:v>4.1300000000000003E-2</c:v>
                </c:pt>
                <c:pt idx="9">
                  <c:v>4.48E-2</c:v>
                </c:pt>
                <c:pt idx="10">
                  <c:v>5.0799999999999998E-2</c:v>
                </c:pt>
              </c:numCache>
            </c:numRef>
          </c:xVal>
          <c:yVal>
            <c:numRef>
              <c:f>Resumen!$S$3:$S$13</c:f>
              <c:numCache>
                <c:formatCode>0.00%</c:formatCode>
                <c:ptCount val="11"/>
                <c:pt idx="0" formatCode="0%">
                  <c:v>0</c:v>
                </c:pt>
                <c:pt idx="1">
                  <c:v>9.5658496170933378E-3</c:v>
                </c:pt>
                <c:pt idx="2">
                  <c:v>1.499023636770111E-2</c:v>
                </c:pt>
                <c:pt idx="3">
                  <c:v>3.3749885282838385E-2</c:v>
                </c:pt>
                <c:pt idx="4">
                  <c:v>4.1349163508865333E-2</c:v>
                </c:pt>
                <c:pt idx="5">
                  <c:v>6.3592105762038331E-2</c:v>
                </c:pt>
                <c:pt idx="6">
                  <c:v>8.3521436732169843E-2</c:v>
                </c:pt>
                <c:pt idx="7">
                  <c:v>9.3295931656609848E-2</c:v>
                </c:pt>
                <c:pt idx="8">
                  <c:v>0.11463574770403469</c:v>
                </c:pt>
                <c:pt idx="9">
                  <c:v>0.13291338477520992</c:v>
                </c:pt>
                <c:pt idx="10">
                  <c:v>0.13568972993871214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C3-470F-A847-852BAC1FD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442864"/>
        <c:axId val="1156443344"/>
      </c:scatterChart>
      <c:valAx>
        <c:axId val="115644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Espesor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6443344"/>
        <c:crosses val="autoZero"/>
        <c:crossBetween val="midCat"/>
      </c:valAx>
      <c:valAx>
        <c:axId val="1156443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%Ganancia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644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068022747156612"/>
          <c:y val="6.0763342082239741E-2"/>
          <c:w val="0.3036262029746281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38670166229223"/>
          <c:y val="5.0925925925925923E-2"/>
          <c:w val="0.81669663167104112"/>
          <c:h val="0.74387357830271217"/>
        </c:manualLayout>
      </c:layout>
      <c:scatterChart>
        <c:scatterStyle val="smoothMarker"/>
        <c:varyColors val="0"/>
        <c:ser>
          <c:idx val="1"/>
          <c:order val="0"/>
          <c:tx>
            <c:strRef>
              <c:f>Resumen!$C$1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2"/>
                </a:solidFill>
                <a:prstDash val="sysDot"/>
              </a:ln>
              <a:effectLst/>
            </c:spPr>
            <c:trendlineType val="poly"/>
            <c:order val="3"/>
            <c:intercept val="0"/>
            <c:dispRSqr val="1"/>
            <c:dispEq val="1"/>
            <c:trendlineLbl>
              <c:layout>
                <c:manualLayout>
                  <c:x val="6.6811461067366573E-2"/>
                  <c:y val="0.34165354330708664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Resumen!$F$3:$F$13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</c:numCache>
            </c:numRef>
          </c:xVal>
          <c:yVal>
            <c:numRef>
              <c:f>Resumen!$D$3:$D$13</c:f>
              <c:numCache>
                <c:formatCode>0.00%</c:formatCode>
                <c:ptCount val="11"/>
                <c:pt idx="0" formatCode="0%">
                  <c:v>0</c:v>
                </c:pt>
                <c:pt idx="1">
                  <c:v>7.7990410572118375E-4</c:v>
                </c:pt>
                <c:pt idx="2">
                  <c:v>8.6516572854604193E-3</c:v>
                </c:pt>
                <c:pt idx="3">
                  <c:v>2.3009634427362861E-2</c:v>
                </c:pt>
                <c:pt idx="4">
                  <c:v>3.7508008703882524E-2</c:v>
                </c:pt>
                <c:pt idx="5">
                  <c:v>4.7515204702170057E-2</c:v>
                </c:pt>
                <c:pt idx="6">
                  <c:v>7.6615269671776287E-2</c:v>
                </c:pt>
                <c:pt idx="7">
                  <c:v>8.7140315310167832E-2</c:v>
                </c:pt>
                <c:pt idx="8">
                  <c:v>9.6245282283375339E-2</c:v>
                </c:pt>
                <c:pt idx="9">
                  <c:v>9.8678310172776687E-2</c:v>
                </c:pt>
                <c:pt idx="10">
                  <c:v>0.12364486220976086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AB-431C-B04C-208B62B00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442864"/>
        <c:axId val="1156443344"/>
      </c:scatterChart>
      <c:valAx>
        <c:axId val="11564428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Espesor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6443344"/>
        <c:crosses val="autoZero"/>
        <c:crossBetween val="midCat"/>
        <c:majorUnit val="5.000000000000001E-3"/>
      </c:valAx>
      <c:valAx>
        <c:axId val="1156443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%Ganancia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644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068022747156612"/>
          <c:y val="6.0763342082239741E-2"/>
          <c:w val="0.3244595363079614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38670166229223"/>
          <c:y val="5.0925925925925923E-2"/>
          <c:w val="0.81669663167104112"/>
          <c:h val="0.74387357830271217"/>
        </c:manualLayout>
      </c:layout>
      <c:scatterChart>
        <c:scatterStyle val="smoothMarker"/>
        <c:varyColors val="0"/>
        <c:ser>
          <c:idx val="1"/>
          <c:order val="0"/>
          <c:tx>
            <c:strRef>
              <c:f>Resumen!$H$1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intercept val="0"/>
            <c:dispRSqr val="1"/>
            <c:dispEq val="1"/>
            <c:trendlineLbl>
              <c:layout>
                <c:manualLayout>
                  <c:x val="6.5238188976377953E-2"/>
                  <c:y val="0.57407407407407407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Resumen!$K$3:$K$13</c:f>
              <c:numCache>
                <c:formatCode>General</c:formatCode>
                <c:ptCount val="11"/>
                <c:pt idx="0">
                  <c:v>0</c:v>
                </c:pt>
                <c:pt idx="1">
                  <c:v>8.0000000000000002E-3</c:v>
                </c:pt>
                <c:pt idx="2">
                  <c:v>1.2999999999999999E-2</c:v>
                </c:pt>
                <c:pt idx="3">
                  <c:v>1.6E-2</c:v>
                </c:pt>
                <c:pt idx="4">
                  <c:v>3.2000000000000001E-2</c:v>
                </c:pt>
                <c:pt idx="5">
                  <c:v>3.6999999999999998E-2</c:v>
                </c:pt>
                <c:pt idx="6">
                  <c:v>3.7999999999999999E-2</c:v>
                </c:pt>
                <c:pt idx="7">
                  <c:v>4.2999999999999997E-2</c:v>
                </c:pt>
                <c:pt idx="8">
                  <c:v>4.4400000000000002E-2</c:v>
                </c:pt>
                <c:pt idx="9">
                  <c:v>4.5999999999999999E-2</c:v>
                </c:pt>
                <c:pt idx="10">
                  <c:v>5.5599999999999997E-2</c:v>
                </c:pt>
              </c:numCache>
            </c:numRef>
          </c:xVal>
          <c:yVal>
            <c:numRef>
              <c:f>Resumen!$I$3:$I$13</c:f>
              <c:numCache>
                <c:formatCode>0.00%</c:formatCode>
                <c:ptCount val="11"/>
                <c:pt idx="0" formatCode="0%">
                  <c:v>0</c:v>
                </c:pt>
                <c:pt idx="1">
                  <c:v>7.1251874058305964E-3</c:v>
                </c:pt>
                <c:pt idx="2">
                  <c:v>6.858627833415341E-3</c:v>
                </c:pt>
                <c:pt idx="3">
                  <c:v>1.2016237194735503E-2</c:v>
                </c:pt>
                <c:pt idx="4">
                  <c:v>2.8857826713132056E-2</c:v>
                </c:pt>
                <c:pt idx="5">
                  <c:v>5.0755578857861652E-2</c:v>
                </c:pt>
                <c:pt idx="6">
                  <c:v>7.327264581551958E-2</c:v>
                </c:pt>
                <c:pt idx="7">
                  <c:v>9.0567554797649011E-2</c:v>
                </c:pt>
                <c:pt idx="8">
                  <c:v>0.1080144450718975</c:v>
                </c:pt>
                <c:pt idx="9">
                  <c:v>0.11850413665752491</c:v>
                </c:pt>
                <c:pt idx="10">
                  <c:v>0.12133157467118924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35-472B-8588-836246015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442864"/>
        <c:axId val="1156443344"/>
      </c:scatterChart>
      <c:valAx>
        <c:axId val="115644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Espesor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6443344"/>
        <c:crosses val="autoZero"/>
        <c:crossBetween val="midCat"/>
      </c:valAx>
      <c:valAx>
        <c:axId val="1156443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%Ganancia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644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068022747156612"/>
          <c:y val="6.0763342082239741E-2"/>
          <c:w val="0.3244595363079614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38670166229223"/>
          <c:y val="5.0925925925925923E-2"/>
          <c:w val="0.81669663167104112"/>
          <c:h val="0.74387357830271217"/>
        </c:manualLayout>
      </c:layout>
      <c:scatterChart>
        <c:scatterStyle val="smoothMarker"/>
        <c:varyColors val="0"/>
        <c:ser>
          <c:idx val="1"/>
          <c:order val="0"/>
          <c:tx>
            <c:strRef>
              <c:f>Resumen!$M$1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3"/>
            <c:intercept val="0"/>
            <c:dispRSqr val="1"/>
            <c:dispEq val="1"/>
            <c:trendlineLbl>
              <c:layout>
                <c:manualLayout>
                  <c:x val="0.10407283464566928"/>
                  <c:y val="0.56111001749781275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Resumen!$P$3:$P$13</c:f>
              <c:numCache>
                <c:formatCode>General</c:formatCode>
                <c:ptCount val="11"/>
                <c:pt idx="0">
                  <c:v>0</c:v>
                </c:pt>
                <c:pt idx="1">
                  <c:v>1.2E-2</c:v>
                </c:pt>
                <c:pt idx="2">
                  <c:v>1.4E-2</c:v>
                </c:pt>
                <c:pt idx="3">
                  <c:v>1.7999999999999999E-2</c:v>
                </c:pt>
                <c:pt idx="4">
                  <c:v>1.9E-2</c:v>
                </c:pt>
                <c:pt idx="5">
                  <c:v>0.02</c:v>
                </c:pt>
                <c:pt idx="6">
                  <c:v>2.3E-2</c:v>
                </c:pt>
                <c:pt idx="7">
                  <c:v>2.4E-2</c:v>
                </c:pt>
                <c:pt idx="8">
                  <c:v>2.7E-2</c:v>
                </c:pt>
                <c:pt idx="9">
                  <c:v>2.5000000000000001E-2</c:v>
                </c:pt>
                <c:pt idx="10">
                  <c:v>3.1E-2</c:v>
                </c:pt>
              </c:numCache>
            </c:numRef>
          </c:xVal>
          <c:yVal>
            <c:numRef>
              <c:f>Resumen!$N$3:$N$13</c:f>
              <c:numCache>
                <c:formatCode>0.00%</c:formatCode>
                <c:ptCount val="11"/>
                <c:pt idx="0" formatCode="0%">
                  <c:v>0</c:v>
                </c:pt>
                <c:pt idx="1">
                  <c:v>5.7391875522073976E-3</c:v>
                </c:pt>
                <c:pt idx="2">
                  <c:v>2.0364028619254813E-2</c:v>
                </c:pt>
                <c:pt idx="3">
                  <c:v>3.6743298414499456E-2</c:v>
                </c:pt>
                <c:pt idx="4">
                  <c:v>4.6057261537772468E-2</c:v>
                </c:pt>
                <c:pt idx="5">
                  <c:v>8.1094397836225976E-2</c:v>
                </c:pt>
                <c:pt idx="6">
                  <c:v>9.2510049328270533E-2</c:v>
                </c:pt>
                <c:pt idx="7">
                  <c:v>0.10659640393396852</c:v>
                </c:pt>
                <c:pt idx="8">
                  <c:v>0.12216454064111751</c:v>
                </c:pt>
                <c:pt idx="9">
                  <c:v>0.14139641865750402</c:v>
                </c:pt>
                <c:pt idx="10">
                  <c:v>0.13633194560050796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B4-4DD6-AD88-5857DD524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442864"/>
        <c:axId val="1156443344"/>
      </c:scatterChart>
      <c:valAx>
        <c:axId val="115644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Espesor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6443344"/>
        <c:crosses val="autoZero"/>
        <c:crossBetween val="midCat"/>
      </c:valAx>
      <c:valAx>
        <c:axId val="1156443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%Ganancia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644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068022747156612"/>
          <c:y val="6.0763342082239741E-2"/>
          <c:w val="0.3036262029746281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3132958763785"/>
          <c:y val="5.3724053724053727E-2"/>
          <c:w val="0.75397332366702241"/>
          <c:h val="0.7687007874015747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Resumen!$C$1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Resumen!$G$3:$G$13</c:f>
              <c:numCache>
                <c:formatCode>0.0000</c:formatCode>
                <c:ptCount val="11"/>
                <c:pt idx="0">
                  <c:v>0.90248333333333319</c:v>
                </c:pt>
                <c:pt idx="1">
                  <c:v>0.90993333333333337</c:v>
                </c:pt>
                <c:pt idx="2">
                  <c:v>0.92180295195001072</c:v>
                </c:pt>
                <c:pt idx="3">
                  <c:v>0.92884076707606111</c:v>
                </c:pt>
                <c:pt idx="4">
                  <c:v>0.93654384830855408</c:v>
                </c:pt>
                <c:pt idx="5">
                  <c:v>0.94039269553975435</c:v>
                </c:pt>
                <c:pt idx="6">
                  <c:v>0.94467787114845947</c:v>
                </c:pt>
                <c:pt idx="7">
                  <c:v>0.94786145227321705</c:v>
                </c:pt>
                <c:pt idx="8">
                  <c:v>0.95281189398836441</c:v>
                </c:pt>
                <c:pt idx="9">
                  <c:v>0.95721557853910788</c:v>
                </c:pt>
                <c:pt idx="10">
                  <c:v>0.96088666235725062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CD-4F59-8F92-874C88D80CE7}"/>
            </c:ext>
          </c:extLst>
        </c:ser>
        <c:ser>
          <c:idx val="1"/>
          <c:order val="1"/>
          <c:tx>
            <c:strRef>
              <c:f>Resumen!$H$1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Resumen!$L$3:$L$13</c:f>
              <c:numCache>
                <c:formatCode>0.0000</c:formatCode>
                <c:ptCount val="11"/>
                <c:pt idx="0">
                  <c:v>0.90328333333333344</c:v>
                </c:pt>
                <c:pt idx="1">
                  <c:v>0.91190206851971567</c:v>
                </c:pt>
                <c:pt idx="2">
                  <c:v>0.91801605257487606</c:v>
                </c:pt>
                <c:pt idx="3">
                  <c:v>0.92113768584356814</c:v>
                </c:pt>
                <c:pt idx="4">
                  <c:v>0.92810816634346038</c:v>
                </c:pt>
                <c:pt idx="5">
                  <c:v>0.93067765567765559</c:v>
                </c:pt>
                <c:pt idx="6">
                  <c:v>0.93698017668605893</c:v>
                </c:pt>
                <c:pt idx="7">
                  <c:v>0.94297565179918108</c:v>
                </c:pt>
                <c:pt idx="8">
                  <c:v>0.94872602887308766</c:v>
                </c:pt>
                <c:pt idx="9">
                  <c:v>0.95165912518853679</c:v>
                </c:pt>
                <c:pt idx="10">
                  <c:v>0.95838181426416724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CD-4F59-8F92-874C88D80CE7}"/>
            </c:ext>
          </c:extLst>
        </c:ser>
        <c:ser>
          <c:idx val="2"/>
          <c:order val="2"/>
          <c:tx>
            <c:strRef>
              <c:f>Resumen!$M$1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Resumen!$Q$3:$Q$13</c:f>
              <c:numCache>
                <c:formatCode>0.0000</c:formatCode>
                <c:ptCount val="11"/>
                <c:pt idx="0">
                  <c:v>0.89911666666666668</c:v>
                </c:pt>
                <c:pt idx="1">
                  <c:v>0.91367700926524453</c:v>
                </c:pt>
                <c:pt idx="2">
                  <c:v>0.92009803921568611</c:v>
                </c:pt>
                <c:pt idx="3">
                  <c:v>0.92278873087696611</c:v>
                </c:pt>
                <c:pt idx="4">
                  <c:v>0.92755871579400984</c:v>
                </c:pt>
                <c:pt idx="5">
                  <c:v>0.92939291101055799</c:v>
                </c:pt>
                <c:pt idx="6">
                  <c:v>0.93422215039862089</c:v>
                </c:pt>
                <c:pt idx="7">
                  <c:v>0.93862044817927159</c:v>
                </c:pt>
                <c:pt idx="8">
                  <c:v>0.9429056237879766</c:v>
                </c:pt>
                <c:pt idx="9">
                  <c:v>0.94731200172376651</c:v>
                </c:pt>
                <c:pt idx="10">
                  <c:v>0.95997091144149971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CD-4F59-8F92-874C88D80CE7}"/>
            </c:ext>
          </c:extLst>
        </c:ser>
        <c:ser>
          <c:idx val="3"/>
          <c:order val="3"/>
          <c:tx>
            <c:strRef>
              <c:f>Resumen!$R$1</c:f>
              <c:strCache>
                <c:ptCount val="1"/>
                <c:pt idx="0">
                  <c:v>Lote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Resumen!$V$3:$V$13</c:f>
              <c:numCache>
                <c:formatCode>0.0000</c:formatCode>
                <c:ptCount val="11"/>
                <c:pt idx="0">
                  <c:v>0.89764999999999995</c:v>
                </c:pt>
                <c:pt idx="1">
                  <c:v>0.91469295410471863</c:v>
                </c:pt>
                <c:pt idx="2">
                  <c:v>0.92257918552036178</c:v>
                </c:pt>
                <c:pt idx="3">
                  <c:v>0.92540400775694887</c:v>
                </c:pt>
                <c:pt idx="4">
                  <c:v>0.93347931480284418</c:v>
                </c:pt>
                <c:pt idx="5">
                  <c:v>0.93832255979314794</c:v>
                </c:pt>
                <c:pt idx="6">
                  <c:v>0.9437524240465418</c:v>
                </c:pt>
                <c:pt idx="7">
                  <c:v>0.94624919198448598</c:v>
                </c:pt>
                <c:pt idx="8">
                  <c:v>0.95252585649644461</c:v>
                </c:pt>
                <c:pt idx="9">
                  <c:v>0.95890917905623796</c:v>
                </c:pt>
                <c:pt idx="10">
                  <c:v>0.96191822882999356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CD-4F59-8F92-874C88D80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103"/>
        <c:axId val="1440832703"/>
      </c:scatterChart>
      <c:valAx>
        <c:axId val="144083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Tiempo de recubrimiento</a:t>
                </a:r>
              </a:p>
            </c:rich>
          </c:tx>
          <c:layout>
            <c:manualLayout>
              <c:xMode val="edge"/>
              <c:yMode val="edge"/>
              <c:x val="0.42494755498736092"/>
              <c:y val="0.902123444246888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2703"/>
        <c:crosses val="autoZero"/>
        <c:crossBetween val="midCat"/>
        <c:majorUnit val="20"/>
      </c:valAx>
      <c:valAx>
        <c:axId val="1440832703"/>
        <c:scaling>
          <c:orientation val="minMax"/>
          <c:min val="0.890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Densidad  [g/mL]</a:t>
                </a:r>
              </a:p>
            </c:rich>
          </c:tx>
          <c:layout>
            <c:manualLayout>
              <c:xMode val="edge"/>
              <c:yMode val="edge"/>
              <c:x val="1.2773761336098973E-2"/>
              <c:y val="0.31181737363474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867564828053786"/>
          <c:y val="0.55684277368554735"/>
          <c:w val="0.2309844028117175"/>
          <c:h val="0.2472544778056589"/>
        </c:manualLayout>
      </c:layout>
      <c:overlay val="0"/>
      <c:spPr>
        <a:solidFill>
          <a:schemeClr val="lt1"/>
        </a:solidFill>
        <a:ln w="9525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902946120498982E-2"/>
          <c:y val="3.7752032651049344E-2"/>
          <c:w val="0.88376537202512606"/>
          <c:h val="0.810130245863828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'Parámetros proceso'!$B$1:$E$1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proceso'!$A$3:$A$272</c:f>
              <c:numCache>
                <c:formatCode>General</c:formatCode>
                <c:ptCount val="2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</c:numCache>
            </c:numRef>
          </c:xVal>
          <c:yVal>
            <c:numRef>
              <c:f>'Parámetros proceso'!$B$3:$B$272</c:f>
              <c:numCache>
                <c:formatCode>General</c:formatCode>
                <c:ptCount val="270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3.5</c:v>
                </c:pt>
                <c:pt idx="23">
                  <c:v>3.5</c:v>
                </c:pt>
                <c:pt idx="24">
                  <c:v>3.5</c:v>
                </c:pt>
                <c:pt idx="25">
                  <c:v>3.5</c:v>
                </c:pt>
                <c:pt idx="26">
                  <c:v>3.5</c:v>
                </c:pt>
                <c:pt idx="27">
                  <c:v>3.5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  <c:pt idx="31">
                  <c:v>3.5</c:v>
                </c:pt>
                <c:pt idx="32">
                  <c:v>3.5</c:v>
                </c:pt>
                <c:pt idx="33">
                  <c:v>3.5</c:v>
                </c:pt>
                <c:pt idx="34">
                  <c:v>3.5</c:v>
                </c:pt>
                <c:pt idx="35">
                  <c:v>3.5</c:v>
                </c:pt>
                <c:pt idx="36">
                  <c:v>3.5</c:v>
                </c:pt>
                <c:pt idx="37">
                  <c:v>3.5</c:v>
                </c:pt>
                <c:pt idx="38">
                  <c:v>3.5</c:v>
                </c:pt>
                <c:pt idx="39">
                  <c:v>3.5</c:v>
                </c:pt>
                <c:pt idx="40">
                  <c:v>3.5</c:v>
                </c:pt>
                <c:pt idx="41">
                  <c:v>3.5</c:v>
                </c:pt>
                <c:pt idx="42">
                  <c:v>3.5</c:v>
                </c:pt>
                <c:pt idx="43">
                  <c:v>3.5</c:v>
                </c:pt>
                <c:pt idx="44">
                  <c:v>3.5</c:v>
                </c:pt>
                <c:pt idx="45">
                  <c:v>3.5</c:v>
                </c:pt>
                <c:pt idx="46">
                  <c:v>3.5</c:v>
                </c:pt>
                <c:pt idx="47">
                  <c:v>3.5</c:v>
                </c:pt>
                <c:pt idx="48">
                  <c:v>3.5</c:v>
                </c:pt>
                <c:pt idx="49">
                  <c:v>3.5</c:v>
                </c:pt>
                <c:pt idx="50">
                  <c:v>3.5</c:v>
                </c:pt>
                <c:pt idx="51">
                  <c:v>3.5</c:v>
                </c:pt>
                <c:pt idx="52">
                  <c:v>3.5</c:v>
                </c:pt>
                <c:pt idx="53">
                  <c:v>3.4</c:v>
                </c:pt>
                <c:pt idx="54">
                  <c:v>3.5</c:v>
                </c:pt>
                <c:pt idx="55">
                  <c:v>3.5</c:v>
                </c:pt>
                <c:pt idx="56">
                  <c:v>3.5</c:v>
                </c:pt>
                <c:pt idx="57">
                  <c:v>3.4</c:v>
                </c:pt>
                <c:pt idx="58">
                  <c:v>3.4</c:v>
                </c:pt>
                <c:pt idx="59">
                  <c:v>3.5</c:v>
                </c:pt>
                <c:pt idx="60">
                  <c:v>3.5</c:v>
                </c:pt>
                <c:pt idx="61">
                  <c:v>3.4</c:v>
                </c:pt>
                <c:pt idx="62">
                  <c:v>3.4</c:v>
                </c:pt>
                <c:pt idx="63">
                  <c:v>3.5</c:v>
                </c:pt>
                <c:pt idx="64">
                  <c:v>3.5</c:v>
                </c:pt>
                <c:pt idx="65">
                  <c:v>3.4</c:v>
                </c:pt>
                <c:pt idx="66">
                  <c:v>3.4</c:v>
                </c:pt>
                <c:pt idx="67">
                  <c:v>3.5</c:v>
                </c:pt>
                <c:pt idx="68">
                  <c:v>3.5</c:v>
                </c:pt>
                <c:pt idx="69">
                  <c:v>3.4</c:v>
                </c:pt>
                <c:pt idx="70">
                  <c:v>3.4</c:v>
                </c:pt>
                <c:pt idx="71">
                  <c:v>3.4</c:v>
                </c:pt>
                <c:pt idx="72">
                  <c:v>3.5</c:v>
                </c:pt>
                <c:pt idx="73">
                  <c:v>3.4</c:v>
                </c:pt>
                <c:pt idx="74">
                  <c:v>3.4</c:v>
                </c:pt>
                <c:pt idx="75">
                  <c:v>3.4</c:v>
                </c:pt>
                <c:pt idx="76">
                  <c:v>3.5</c:v>
                </c:pt>
                <c:pt idx="77">
                  <c:v>3.4</c:v>
                </c:pt>
                <c:pt idx="78">
                  <c:v>3.4</c:v>
                </c:pt>
                <c:pt idx="79">
                  <c:v>3.4</c:v>
                </c:pt>
                <c:pt idx="80">
                  <c:v>3.5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3.4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3.4</c:v>
                </c:pt>
                <c:pt idx="93">
                  <c:v>3.4</c:v>
                </c:pt>
                <c:pt idx="94">
                  <c:v>3.4</c:v>
                </c:pt>
                <c:pt idx="95">
                  <c:v>3.4</c:v>
                </c:pt>
                <c:pt idx="96">
                  <c:v>3.4</c:v>
                </c:pt>
                <c:pt idx="97">
                  <c:v>3.4</c:v>
                </c:pt>
                <c:pt idx="98">
                  <c:v>3.4</c:v>
                </c:pt>
                <c:pt idx="99">
                  <c:v>3.4</c:v>
                </c:pt>
                <c:pt idx="100">
                  <c:v>3.4</c:v>
                </c:pt>
                <c:pt idx="101">
                  <c:v>3.4</c:v>
                </c:pt>
                <c:pt idx="102">
                  <c:v>3.4</c:v>
                </c:pt>
                <c:pt idx="103">
                  <c:v>3.4</c:v>
                </c:pt>
                <c:pt idx="104">
                  <c:v>3.4</c:v>
                </c:pt>
                <c:pt idx="105">
                  <c:v>3.4</c:v>
                </c:pt>
                <c:pt idx="106">
                  <c:v>3.4</c:v>
                </c:pt>
                <c:pt idx="107">
                  <c:v>3.4</c:v>
                </c:pt>
                <c:pt idx="108">
                  <c:v>3.4</c:v>
                </c:pt>
                <c:pt idx="109">
                  <c:v>3.4</c:v>
                </c:pt>
                <c:pt idx="110">
                  <c:v>3.4</c:v>
                </c:pt>
                <c:pt idx="111">
                  <c:v>3.4</c:v>
                </c:pt>
                <c:pt idx="112">
                  <c:v>3.4</c:v>
                </c:pt>
                <c:pt idx="113">
                  <c:v>3.4</c:v>
                </c:pt>
                <c:pt idx="114">
                  <c:v>3.4</c:v>
                </c:pt>
                <c:pt idx="115">
                  <c:v>3.4</c:v>
                </c:pt>
                <c:pt idx="116">
                  <c:v>3.4</c:v>
                </c:pt>
                <c:pt idx="117">
                  <c:v>3.4</c:v>
                </c:pt>
                <c:pt idx="118">
                  <c:v>3.4</c:v>
                </c:pt>
                <c:pt idx="119">
                  <c:v>3.4</c:v>
                </c:pt>
                <c:pt idx="120">
                  <c:v>3.4</c:v>
                </c:pt>
                <c:pt idx="121">
                  <c:v>3.4</c:v>
                </c:pt>
                <c:pt idx="122">
                  <c:v>3.4</c:v>
                </c:pt>
                <c:pt idx="123">
                  <c:v>3.4</c:v>
                </c:pt>
                <c:pt idx="124">
                  <c:v>3.4</c:v>
                </c:pt>
                <c:pt idx="125">
                  <c:v>3.4</c:v>
                </c:pt>
                <c:pt idx="126">
                  <c:v>3.4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</c:v>
                </c:pt>
                <c:pt idx="131">
                  <c:v>3.4</c:v>
                </c:pt>
                <c:pt idx="132">
                  <c:v>3.4</c:v>
                </c:pt>
                <c:pt idx="133">
                  <c:v>3.4</c:v>
                </c:pt>
                <c:pt idx="134">
                  <c:v>3.4</c:v>
                </c:pt>
                <c:pt idx="135">
                  <c:v>3.4</c:v>
                </c:pt>
                <c:pt idx="136">
                  <c:v>3.4</c:v>
                </c:pt>
                <c:pt idx="137">
                  <c:v>3.4</c:v>
                </c:pt>
                <c:pt idx="138">
                  <c:v>3.4</c:v>
                </c:pt>
                <c:pt idx="139">
                  <c:v>3.4</c:v>
                </c:pt>
                <c:pt idx="140">
                  <c:v>3.4</c:v>
                </c:pt>
                <c:pt idx="141">
                  <c:v>3.4</c:v>
                </c:pt>
                <c:pt idx="142">
                  <c:v>3.4</c:v>
                </c:pt>
                <c:pt idx="143">
                  <c:v>3.4</c:v>
                </c:pt>
                <c:pt idx="144">
                  <c:v>3.4</c:v>
                </c:pt>
                <c:pt idx="145">
                  <c:v>3.4</c:v>
                </c:pt>
                <c:pt idx="146">
                  <c:v>3.4</c:v>
                </c:pt>
                <c:pt idx="147">
                  <c:v>3.4</c:v>
                </c:pt>
                <c:pt idx="148">
                  <c:v>3.4</c:v>
                </c:pt>
                <c:pt idx="149">
                  <c:v>3.4</c:v>
                </c:pt>
                <c:pt idx="150">
                  <c:v>3.4</c:v>
                </c:pt>
                <c:pt idx="151">
                  <c:v>3.4</c:v>
                </c:pt>
                <c:pt idx="152">
                  <c:v>3.4</c:v>
                </c:pt>
                <c:pt idx="153">
                  <c:v>3.4</c:v>
                </c:pt>
                <c:pt idx="154">
                  <c:v>3.4</c:v>
                </c:pt>
                <c:pt idx="155">
                  <c:v>3.4</c:v>
                </c:pt>
                <c:pt idx="156">
                  <c:v>3.4</c:v>
                </c:pt>
                <c:pt idx="157">
                  <c:v>3.4</c:v>
                </c:pt>
                <c:pt idx="158">
                  <c:v>3.4</c:v>
                </c:pt>
                <c:pt idx="159">
                  <c:v>3.4</c:v>
                </c:pt>
                <c:pt idx="160">
                  <c:v>3.5</c:v>
                </c:pt>
                <c:pt idx="161">
                  <c:v>3.4</c:v>
                </c:pt>
                <c:pt idx="162">
                  <c:v>3.4</c:v>
                </c:pt>
                <c:pt idx="163">
                  <c:v>3.5</c:v>
                </c:pt>
                <c:pt idx="164">
                  <c:v>3.4</c:v>
                </c:pt>
                <c:pt idx="165">
                  <c:v>3.4</c:v>
                </c:pt>
                <c:pt idx="166">
                  <c:v>3.4</c:v>
                </c:pt>
                <c:pt idx="167">
                  <c:v>3.4</c:v>
                </c:pt>
                <c:pt idx="168">
                  <c:v>3.4</c:v>
                </c:pt>
                <c:pt idx="169">
                  <c:v>3.4</c:v>
                </c:pt>
                <c:pt idx="170">
                  <c:v>3.4</c:v>
                </c:pt>
                <c:pt idx="171">
                  <c:v>3.4</c:v>
                </c:pt>
                <c:pt idx="172">
                  <c:v>3.4</c:v>
                </c:pt>
                <c:pt idx="173">
                  <c:v>3.4</c:v>
                </c:pt>
                <c:pt idx="174">
                  <c:v>3.4</c:v>
                </c:pt>
                <c:pt idx="175">
                  <c:v>3.4</c:v>
                </c:pt>
                <c:pt idx="176">
                  <c:v>3.4</c:v>
                </c:pt>
                <c:pt idx="177">
                  <c:v>3.4</c:v>
                </c:pt>
                <c:pt idx="178">
                  <c:v>3.4</c:v>
                </c:pt>
                <c:pt idx="179">
                  <c:v>3.4</c:v>
                </c:pt>
                <c:pt idx="180">
                  <c:v>3.4</c:v>
                </c:pt>
                <c:pt idx="181">
                  <c:v>3.4</c:v>
                </c:pt>
                <c:pt idx="182">
                  <c:v>3.4</c:v>
                </c:pt>
                <c:pt idx="183">
                  <c:v>3.4</c:v>
                </c:pt>
                <c:pt idx="184">
                  <c:v>3.4</c:v>
                </c:pt>
                <c:pt idx="185">
                  <c:v>3.4</c:v>
                </c:pt>
                <c:pt idx="186">
                  <c:v>3.4</c:v>
                </c:pt>
                <c:pt idx="187">
                  <c:v>3.4</c:v>
                </c:pt>
                <c:pt idx="188">
                  <c:v>3.4</c:v>
                </c:pt>
                <c:pt idx="189">
                  <c:v>3.4</c:v>
                </c:pt>
                <c:pt idx="190">
                  <c:v>3.4</c:v>
                </c:pt>
                <c:pt idx="191">
                  <c:v>3.4</c:v>
                </c:pt>
                <c:pt idx="192">
                  <c:v>3.4</c:v>
                </c:pt>
                <c:pt idx="193">
                  <c:v>3.4</c:v>
                </c:pt>
                <c:pt idx="194">
                  <c:v>3.4</c:v>
                </c:pt>
                <c:pt idx="195">
                  <c:v>3.4</c:v>
                </c:pt>
                <c:pt idx="196">
                  <c:v>3.4</c:v>
                </c:pt>
                <c:pt idx="197">
                  <c:v>3.4</c:v>
                </c:pt>
                <c:pt idx="198">
                  <c:v>3.4</c:v>
                </c:pt>
                <c:pt idx="199">
                  <c:v>3.4</c:v>
                </c:pt>
                <c:pt idx="200">
                  <c:v>3.4</c:v>
                </c:pt>
                <c:pt idx="201">
                  <c:v>3.4</c:v>
                </c:pt>
                <c:pt idx="202">
                  <c:v>3.4</c:v>
                </c:pt>
                <c:pt idx="203">
                  <c:v>3.4</c:v>
                </c:pt>
                <c:pt idx="204">
                  <c:v>3.4</c:v>
                </c:pt>
                <c:pt idx="205">
                  <c:v>3.4</c:v>
                </c:pt>
                <c:pt idx="206">
                  <c:v>3.4</c:v>
                </c:pt>
                <c:pt idx="207">
                  <c:v>3.4</c:v>
                </c:pt>
                <c:pt idx="208">
                  <c:v>3.4</c:v>
                </c:pt>
                <c:pt idx="209">
                  <c:v>3.4</c:v>
                </c:pt>
                <c:pt idx="210">
                  <c:v>3.4</c:v>
                </c:pt>
                <c:pt idx="211">
                  <c:v>3.4</c:v>
                </c:pt>
                <c:pt idx="212">
                  <c:v>3.4</c:v>
                </c:pt>
                <c:pt idx="213">
                  <c:v>3.4</c:v>
                </c:pt>
                <c:pt idx="214">
                  <c:v>3.4</c:v>
                </c:pt>
                <c:pt idx="215">
                  <c:v>3.4</c:v>
                </c:pt>
                <c:pt idx="216">
                  <c:v>3.4</c:v>
                </c:pt>
                <c:pt idx="217">
                  <c:v>3.4</c:v>
                </c:pt>
                <c:pt idx="218">
                  <c:v>3.4</c:v>
                </c:pt>
                <c:pt idx="219">
                  <c:v>3.4</c:v>
                </c:pt>
                <c:pt idx="220">
                  <c:v>3.4</c:v>
                </c:pt>
                <c:pt idx="221">
                  <c:v>3.4</c:v>
                </c:pt>
                <c:pt idx="222">
                  <c:v>3.4</c:v>
                </c:pt>
                <c:pt idx="223">
                  <c:v>3.4</c:v>
                </c:pt>
                <c:pt idx="224">
                  <c:v>3.4</c:v>
                </c:pt>
                <c:pt idx="225">
                  <c:v>3.4</c:v>
                </c:pt>
                <c:pt idx="226">
                  <c:v>3.4</c:v>
                </c:pt>
                <c:pt idx="227">
                  <c:v>3.4</c:v>
                </c:pt>
                <c:pt idx="228">
                  <c:v>3.4</c:v>
                </c:pt>
                <c:pt idx="229">
                  <c:v>3.4</c:v>
                </c:pt>
                <c:pt idx="230">
                  <c:v>3.4</c:v>
                </c:pt>
                <c:pt idx="231">
                  <c:v>3.4</c:v>
                </c:pt>
                <c:pt idx="232">
                  <c:v>3.4</c:v>
                </c:pt>
                <c:pt idx="233">
                  <c:v>3.4</c:v>
                </c:pt>
                <c:pt idx="234">
                  <c:v>3.4</c:v>
                </c:pt>
                <c:pt idx="235">
                  <c:v>3.4</c:v>
                </c:pt>
                <c:pt idx="236">
                  <c:v>3.4</c:v>
                </c:pt>
                <c:pt idx="237">
                  <c:v>3.4</c:v>
                </c:pt>
                <c:pt idx="238">
                  <c:v>3.4</c:v>
                </c:pt>
                <c:pt idx="239">
                  <c:v>3.4</c:v>
                </c:pt>
                <c:pt idx="240">
                  <c:v>3.4</c:v>
                </c:pt>
                <c:pt idx="241">
                  <c:v>3.4</c:v>
                </c:pt>
                <c:pt idx="242">
                  <c:v>3.4</c:v>
                </c:pt>
                <c:pt idx="243">
                  <c:v>3.4</c:v>
                </c:pt>
                <c:pt idx="244">
                  <c:v>3.4</c:v>
                </c:pt>
                <c:pt idx="245">
                  <c:v>3.4</c:v>
                </c:pt>
                <c:pt idx="246">
                  <c:v>3.4</c:v>
                </c:pt>
                <c:pt idx="247">
                  <c:v>3.4</c:v>
                </c:pt>
                <c:pt idx="248">
                  <c:v>3.4</c:v>
                </c:pt>
                <c:pt idx="249">
                  <c:v>3.4</c:v>
                </c:pt>
                <c:pt idx="250">
                  <c:v>3.4</c:v>
                </c:pt>
                <c:pt idx="251">
                  <c:v>3.4</c:v>
                </c:pt>
                <c:pt idx="252">
                  <c:v>3.4</c:v>
                </c:pt>
                <c:pt idx="253">
                  <c:v>3.4</c:v>
                </c:pt>
                <c:pt idx="254">
                  <c:v>3.4</c:v>
                </c:pt>
                <c:pt idx="255">
                  <c:v>3.4</c:v>
                </c:pt>
                <c:pt idx="256">
                  <c:v>3.4</c:v>
                </c:pt>
                <c:pt idx="257">
                  <c:v>3.4</c:v>
                </c:pt>
                <c:pt idx="258">
                  <c:v>3.4</c:v>
                </c:pt>
                <c:pt idx="259">
                  <c:v>3.4</c:v>
                </c:pt>
                <c:pt idx="260">
                  <c:v>3.4</c:v>
                </c:pt>
                <c:pt idx="261">
                  <c:v>3.4</c:v>
                </c:pt>
                <c:pt idx="262">
                  <c:v>3.4</c:v>
                </c:pt>
                <c:pt idx="263">
                  <c:v>3.4</c:v>
                </c:pt>
                <c:pt idx="264">
                  <c:v>3.4</c:v>
                </c:pt>
                <c:pt idx="265">
                  <c:v>3.4</c:v>
                </c:pt>
                <c:pt idx="266">
                  <c:v>3.4</c:v>
                </c:pt>
                <c:pt idx="267">
                  <c:v>3.4</c:v>
                </c:pt>
                <c:pt idx="268">
                  <c:v>3.4</c:v>
                </c:pt>
                <c:pt idx="269">
                  <c:v>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03-4631-9CD9-A687868C73A2}"/>
            </c:ext>
          </c:extLst>
        </c:ser>
        <c:ser>
          <c:idx val="1"/>
          <c:order val="1"/>
          <c:tx>
            <c:strRef>
              <c:f>'Parámetros proceso'!$F$1:$I$1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proceso'!$A$3:$A$332</c:f>
              <c:numCache>
                <c:formatCode>General</c:formatCode>
                <c:ptCount val="3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</c:numCache>
            </c:numRef>
          </c:xVal>
          <c:yVal>
            <c:numRef>
              <c:f>'Parámetros proceso'!$F$3:$F$332</c:f>
              <c:numCache>
                <c:formatCode>General</c:formatCode>
                <c:ptCount val="330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3.4</c:v>
                </c:pt>
                <c:pt idx="6">
                  <c:v>3.4</c:v>
                </c:pt>
                <c:pt idx="7">
                  <c:v>3.5</c:v>
                </c:pt>
                <c:pt idx="8">
                  <c:v>3.4</c:v>
                </c:pt>
                <c:pt idx="9">
                  <c:v>3.4</c:v>
                </c:pt>
                <c:pt idx="10">
                  <c:v>3.4</c:v>
                </c:pt>
                <c:pt idx="11">
                  <c:v>3.5</c:v>
                </c:pt>
                <c:pt idx="12">
                  <c:v>3.4</c:v>
                </c:pt>
                <c:pt idx="13">
                  <c:v>3.4</c:v>
                </c:pt>
                <c:pt idx="14">
                  <c:v>3.5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3.5</c:v>
                </c:pt>
                <c:pt idx="23">
                  <c:v>3.5</c:v>
                </c:pt>
                <c:pt idx="24">
                  <c:v>3.5</c:v>
                </c:pt>
                <c:pt idx="25">
                  <c:v>3.5</c:v>
                </c:pt>
                <c:pt idx="26">
                  <c:v>3.5</c:v>
                </c:pt>
                <c:pt idx="27">
                  <c:v>3.5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  <c:pt idx="31">
                  <c:v>3.5</c:v>
                </c:pt>
                <c:pt idx="32">
                  <c:v>3.5</c:v>
                </c:pt>
                <c:pt idx="33">
                  <c:v>3.5</c:v>
                </c:pt>
                <c:pt idx="34">
                  <c:v>3.5</c:v>
                </c:pt>
                <c:pt idx="35">
                  <c:v>3.4</c:v>
                </c:pt>
                <c:pt idx="36">
                  <c:v>3.4</c:v>
                </c:pt>
                <c:pt idx="37">
                  <c:v>3.4</c:v>
                </c:pt>
                <c:pt idx="38">
                  <c:v>3.4</c:v>
                </c:pt>
                <c:pt idx="39">
                  <c:v>3.4</c:v>
                </c:pt>
                <c:pt idx="40">
                  <c:v>3.5</c:v>
                </c:pt>
                <c:pt idx="41">
                  <c:v>3.5</c:v>
                </c:pt>
                <c:pt idx="42">
                  <c:v>3.5</c:v>
                </c:pt>
                <c:pt idx="43">
                  <c:v>3.5</c:v>
                </c:pt>
                <c:pt idx="44">
                  <c:v>3.5</c:v>
                </c:pt>
                <c:pt idx="45">
                  <c:v>3.5</c:v>
                </c:pt>
                <c:pt idx="46">
                  <c:v>3.5</c:v>
                </c:pt>
                <c:pt idx="47">
                  <c:v>3.5</c:v>
                </c:pt>
                <c:pt idx="48">
                  <c:v>3.5</c:v>
                </c:pt>
                <c:pt idx="49">
                  <c:v>3.5</c:v>
                </c:pt>
                <c:pt idx="50">
                  <c:v>3.5</c:v>
                </c:pt>
                <c:pt idx="51">
                  <c:v>3.5</c:v>
                </c:pt>
                <c:pt idx="52">
                  <c:v>3.5</c:v>
                </c:pt>
                <c:pt idx="53">
                  <c:v>3.5</c:v>
                </c:pt>
                <c:pt idx="54">
                  <c:v>3.5</c:v>
                </c:pt>
                <c:pt idx="55">
                  <c:v>3.5</c:v>
                </c:pt>
                <c:pt idx="56">
                  <c:v>3.5</c:v>
                </c:pt>
                <c:pt idx="57">
                  <c:v>3.5</c:v>
                </c:pt>
                <c:pt idx="58">
                  <c:v>3.5</c:v>
                </c:pt>
                <c:pt idx="59">
                  <c:v>3.5</c:v>
                </c:pt>
                <c:pt idx="60">
                  <c:v>3.5</c:v>
                </c:pt>
                <c:pt idx="61">
                  <c:v>3.4</c:v>
                </c:pt>
                <c:pt idx="62">
                  <c:v>3.4</c:v>
                </c:pt>
                <c:pt idx="63">
                  <c:v>3.4</c:v>
                </c:pt>
                <c:pt idx="64">
                  <c:v>3.4</c:v>
                </c:pt>
                <c:pt idx="65">
                  <c:v>3.4</c:v>
                </c:pt>
                <c:pt idx="66">
                  <c:v>3.4</c:v>
                </c:pt>
                <c:pt idx="67">
                  <c:v>3.4</c:v>
                </c:pt>
                <c:pt idx="68">
                  <c:v>3.4</c:v>
                </c:pt>
                <c:pt idx="69">
                  <c:v>3.4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3.4</c:v>
                </c:pt>
                <c:pt idx="74">
                  <c:v>3.4</c:v>
                </c:pt>
                <c:pt idx="75">
                  <c:v>3.4</c:v>
                </c:pt>
                <c:pt idx="76">
                  <c:v>3.4</c:v>
                </c:pt>
                <c:pt idx="77">
                  <c:v>3.4</c:v>
                </c:pt>
                <c:pt idx="78">
                  <c:v>3.4</c:v>
                </c:pt>
                <c:pt idx="79">
                  <c:v>3.4</c:v>
                </c:pt>
                <c:pt idx="80">
                  <c:v>3.4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3.4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3.4</c:v>
                </c:pt>
                <c:pt idx="93">
                  <c:v>3.4</c:v>
                </c:pt>
                <c:pt idx="94">
                  <c:v>3.4</c:v>
                </c:pt>
                <c:pt idx="95">
                  <c:v>3.4</c:v>
                </c:pt>
                <c:pt idx="96">
                  <c:v>3.4</c:v>
                </c:pt>
                <c:pt idx="97">
                  <c:v>3.4</c:v>
                </c:pt>
                <c:pt idx="98">
                  <c:v>3.4</c:v>
                </c:pt>
                <c:pt idx="99">
                  <c:v>3.4</c:v>
                </c:pt>
                <c:pt idx="100">
                  <c:v>3.4</c:v>
                </c:pt>
                <c:pt idx="101">
                  <c:v>3.4</c:v>
                </c:pt>
                <c:pt idx="102">
                  <c:v>3.4</c:v>
                </c:pt>
                <c:pt idx="103">
                  <c:v>3.4</c:v>
                </c:pt>
                <c:pt idx="104">
                  <c:v>3.4</c:v>
                </c:pt>
                <c:pt idx="105">
                  <c:v>3.4</c:v>
                </c:pt>
                <c:pt idx="106">
                  <c:v>3.4</c:v>
                </c:pt>
                <c:pt idx="107">
                  <c:v>3.4</c:v>
                </c:pt>
                <c:pt idx="108">
                  <c:v>3.4</c:v>
                </c:pt>
                <c:pt idx="109">
                  <c:v>3.4</c:v>
                </c:pt>
                <c:pt idx="110">
                  <c:v>3.4</c:v>
                </c:pt>
                <c:pt idx="111">
                  <c:v>3.4</c:v>
                </c:pt>
                <c:pt idx="112">
                  <c:v>3.4</c:v>
                </c:pt>
                <c:pt idx="113">
                  <c:v>3.4</c:v>
                </c:pt>
                <c:pt idx="114">
                  <c:v>3.4</c:v>
                </c:pt>
                <c:pt idx="115">
                  <c:v>3.4</c:v>
                </c:pt>
                <c:pt idx="116">
                  <c:v>3.4</c:v>
                </c:pt>
                <c:pt idx="117">
                  <c:v>3.4</c:v>
                </c:pt>
                <c:pt idx="118">
                  <c:v>3.4</c:v>
                </c:pt>
                <c:pt idx="119">
                  <c:v>3.4</c:v>
                </c:pt>
                <c:pt idx="120">
                  <c:v>3.4</c:v>
                </c:pt>
                <c:pt idx="121">
                  <c:v>3.4</c:v>
                </c:pt>
                <c:pt idx="122">
                  <c:v>3.4</c:v>
                </c:pt>
                <c:pt idx="123">
                  <c:v>3.4</c:v>
                </c:pt>
                <c:pt idx="124">
                  <c:v>3.4</c:v>
                </c:pt>
                <c:pt idx="125">
                  <c:v>3.4</c:v>
                </c:pt>
                <c:pt idx="126">
                  <c:v>3.4</c:v>
                </c:pt>
                <c:pt idx="127">
                  <c:v>3.5</c:v>
                </c:pt>
                <c:pt idx="128">
                  <c:v>3.5</c:v>
                </c:pt>
                <c:pt idx="129">
                  <c:v>3.5</c:v>
                </c:pt>
                <c:pt idx="130">
                  <c:v>3.5</c:v>
                </c:pt>
                <c:pt idx="131">
                  <c:v>3.4</c:v>
                </c:pt>
                <c:pt idx="132">
                  <c:v>3.4</c:v>
                </c:pt>
                <c:pt idx="133">
                  <c:v>3.4</c:v>
                </c:pt>
                <c:pt idx="134">
                  <c:v>3.4</c:v>
                </c:pt>
                <c:pt idx="135">
                  <c:v>3.4</c:v>
                </c:pt>
                <c:pt idx="136">
                  <c:v>3.4</c:v>
                </c:pt>
                <c:pt idx="137">
                  <c:v>3.4</c:v>
                </c:pt>
                <c:pt idx="138">
                  <c:v>3.4</c:v>
                </c:pt>
                <c:pt idx="139">
                  <c:v>3.4</c:v>
                </c:pt>
                <c:pt idx="140">
                  <c:v>3.4</c:v>
                </c:pt>
                <c:pt idx="141">
                  <c:v>3.4</c:v>
                </c:pt>
                <c:pt idx="142">
                  <c:v>3.4</c:v>
                </c:pt>
                <c:pt idx="143">
                  <c:v>3.4</c:v>
                </c:pt>
                <c:pt idx="144">
                  <c:v>3.4</c:v>
                </c:pt>
                <c:pt idx="145">
                  <c:v>3.4</c:v>
                </c:pt>
                <c:pt idx="146">
                  <c:v>3.4</c:v>
                </c:pt>
                <c:pt idx="147">
                  <c:v>3.4</c:v>
                </c:pt>
                <c:pt idx="148">
                  <c:v>3.4</c:v>
                </c:pt>
                <c:pt idx="149">
                  <c:v>3.4</c:v>
                </c:pt>
                <c:pt idx="150">
                  <c:v>3.4</c:v>
                </c:pt>
                <c:pt idx="151">
                  <c:v>3.4</c:v>
                </c:pt>
                <c:pt idx="152">
                  <c:v>3.4</c:v>
                </c:pt>
                <c:pt idx="153">
                  <c:v>3.5</c:v>
                </c:pt>
                <c:pt idx="154">
                  <c:v>3.4</c:v>
                </c:pt>
                <c:pt idx="155">
                  <c:v>3.4</c:v>
                </c:pt>
                <c:pt idx="156">
                  <c:v>3.4</c:v>
                </c:pt>
                <c:pt idx="157">
                  <c:v>3.4</c:v>
                </c:pt>
                <c:pt idx="158">
                  <c:v>3.4</c:v>
                </c:pt>
                <c:pt idx="159">
                  <c:v>3.4</c:v>
                </c:pt>
                <c:pt idx="160">
                  <c:v>3.4</c:v>
                </c:pt>
                <c:pt idx="161">
                  <c:v>3.4</c:v>
                </c:pt>
                <c:pt idx="162">
                  <c:v>3.4</c:v>
                </c:pt>
                <c:pt idx="163">
                  <c:v>3.4</c:v>
                </c:pt>
                <c:pt idx="164">
                  <c:v>3.4</c:v>
                </c:pt>
                <c:pt idx="165">
                  <c:v>3.4</c:v>
                </c:pt>
                <c:pt idx="166">
                  <c:v>3.4</c:v>
                </c:pt>
                <c:pt idx="167">
                  <c:v>3.4</c:v>
                </c:pt>
                <c:pt idx="168">
                  <c:v>3.4</c:v>
                </c:pt>
                <c:pt idx="169">
                  <c:v>3.4</c:v>
                </c:pt>
                <c:pt idx="170">
                  <c:v>3.4</c:v>
                </c:pt>
                <c:pt idx="171">
                  <c:v>3.4</c:v>
                </c:pt>
                <c:pt idx="172">
                  <c:v>3.4</c:v>
                </c:pt>
                <c:pt idx="173">
                  <c:v>3.4</c:v>
                </c:pt>
                <c:pt idx="174">
                  <c:v>3.4</c:v>
                </c:pt>
                <c:pt idx="175">
                  <c:v>3.4</c:v>
                </c:pt>
                <c:pt idx="176">
                  <c:v>3.4</c:v>
                </c:pt>
                <c:pt idx="177">
                  <c:v>3.4</c:v>
                </c:pt>
                <c:pt idx="178">
                  <c:v>3.4</c:v>
                </c:pt>
                <c:pt idx="179">
                  <c:v>3.4</c:v>
                </c:pt>
                <c:pt idx="180">
                  <c:v>3.4</c:v>
                </c:pt>
                <c:pt idx="181">
                  <c:v>3.4</c:v>
                </c:pt>
                <c:pt idx="182">
                  <c:v>3.4</c:v>
                </c:pt>
                <c:pt idx="183">
                  <c:v>3.4</c:v>
                </c:pt>
                <c:pt idx="184">
                  <c:v>3.4</c:v>
                </c:pt>
                <c:pt idx="185">
                  <c:v>3.4</c:v>
                </c:pt>
                <c:pt idx="186">
                  <c:v>3.4</c:v>
                </c:pt>
                <c:pt idx="187">
                  <c:v>3.4</c:v>
                </c:pt>
                <c:pt idx="188">
                  <c:v>3.4</c:v>
                </c:pt>
                <c:pt idx="189">
                  <c:v>3.4</c:v>
                </c:pt>
                <c:pt idx="190">
                  <c:v>3.4</c:v>
                </c:pt>
                <c:pt idx="191">
                  <c:v>3.4</c:v>
                </c:pt>
                <c:pt idx="192">
                  <c:v>3.4</c:v>
                </c:pt>
                <c:pt idx="193">
                  <c:v>3.4</c:v>
                </c:pt>
                <c:pt idx="194">
                  <c:v>3.4</c:v>
                </c:pt>
                <c:pt idx="195">
                  <c:v>3.4</c:v>
                </c:pt>
                <c:pt idx="196">
                  <c:v>3.4</c:v>
                </c:pt>
                <c:pt idx="197">
                  <c:v>3.4</c:v>
                </c:pt>
                <c:pt idx="198">
                  <c:v>3.4</c:v>
                </c:pt>
                <c:pt idx="199">
                  <c:v>3.4</c:v>
                </c:pt>
                <c:pt idx="200">
                  <c:v>3.4</c:v>
                </c:pt>
                <c:pt idx="201">
                  <c:v>3.4</c:v>
                </c:pt>
                <c:pt idx="202">
                  <c:v>3.4</c:v>
                </c:pt>
                <c:pt idx="203">
                  <c:v>3.4</c:v>
                </c:pt>
                <c:pt idx="204">
                  <c:v>3.4</c:v>
                </c:pt>
                <c:pt idx="205">
                  <c:v>3.4</c:v>
                </c:pt>
                <c:pt idx="206">
                  <c:v>3.4</c:v>
                </c:pt>
                <c:pt idx="207">
                  <c:v>3.4</c:v>
                </c:pt>
                <c:pt idx="208">
                  <c:v>3.4</c:v>
                </c:pt>
                <c:pt idx="209">
                  <c:v>3.4</c:v>
                </c:pt>
                <c:pt idx="210">
                  <c:v>3.4</c:v>
                </c:pt>
                <c:pt idx="211">
                  <c:v>3.4</c:v>
                </c:pt>
                <c:pt idx="212">
                  <c:v>3.4</c:v>
                </c:pt>
                <c:pt idx="213">
                  <c:v>3.4</c:v>
                </c:pt>
                <c:pt idx="214">
                  <c:v>3.4</c:v>
                </c:pt>
                <c:pt idx="215">
                  <c:v>3.4</c:v>
                </c:pt>
                <c:pt idx="216">
                  <c:v>3.4</c:v>
                </c:pt>
                <c:pt idx="217">
                  <c:v>3.4</c:v>
                </c:pt>
                <c:pt idx="218">
                  <c:v>3.4</c:v>
                </c:pt>
                <c:pt idx="219">
                  <c:v>3.4</c:v>
                </c:pt>
                <c:pt idx="220">
                  <c:v>3.4</c:v>
                </c:pt>
                <c:pt idx="221">
                  <c:v>3.4</c:v>
                </c:pt>
                <c:pt idx="222">
                  <c:v>3.4</c:v>
                </c:pt>
                <c:pt idx="223">
                  <c:v>3.4</c:v>
                </c:pt>
                <c:pt idx="224">
                  <c:v>3.4</c:v>
                </c:pt>
                <c:pt idx="225">
                  <c:v>3.4</c:v>
                </c:pt>
                <c:pt idx="226">
                  <c:v>3.4</c:v>
                </c:pt>
                <c:pt idx="227">
                  <c:v>3.4</c:v>
                </c:pt>
                <c:pt idx="228">
                  <c:v>3.4</c:v>
                </c:pt>
                <c:pt idx="229">
                  <c:v>3.4</c:v>
                </c:pt>
                <c:pt idx="230">
                  <c:v>3.4</c:v>
                </c:pt>
                <c:pt idx="231">
                  <c:v>3.4</c:v>
                </c:pt>
                <c:pt idx="232">
                  <c:v>3.4</c:v>
                </c:pt>
                <c:pt idx="233">
                  <c:v>3.4</c:v>
                </c:pt>
                <c:pt idx="234">
                  <c:v>3.4</c:v>
                </c:pt>
                <c:pt idx="235">
                  <c:v>3.4</c:v>
                </c:pt>
                <c:pt idx="236">
                  <c:v>3.4</c:v>
                </c:pt>
                <c:pt idx="237">
                  <c:v>3.4</c:v>
                </c:pt>
                <c:pt idx="238">
                  <c:v>3.4</c:v>
                </c:pt>
                <c:pt idx="239">
                  <c:v>3.4</c:v>
                </c:pt>
                <c:pt idx="240">
                  <c:v>3.4</c:v>
                </c:pt>
                <c:pt idx="241">
                  <c:v>3.4</c:v>
                </c:pt>
                <c:pt idx="242">
                  <c:v>3.4</c:v>
                </c:pt>
                <c:pt idx="243">
                  <c:v>3.4</c:v>
                </c:pt>
                <c:pt idx="244">
                  <c:v>3.4</c:v>
                </c:pt>
                <c:pt idx="245">
                  <c:v>3.4</c:v>
                </c:pt>
                <c:pt idx="246">
                  <c:v>3.4</c:v>
                </c:pt>
                <c:pt idx="247">
                  <c:v>3.4</c:v>
                </c:pt>
                <c:pt idx="248">
                  <c:v>3.4</c:v>
                </c:pt>
                <c:pt idx="249">
                  <c:v>3.4</c:v>
                </c:pt>
                <c:pt idx="250">
                  <c:v>3.4</c:v>
                </c:pt>
                <c:pt idx="251">
                  <c:v>3.4</c:v>
                </c:pt>
                <c:pt idx="252">
                  <c:v>3.4</c:v>
                </c:pt>
                <c:pt idx="253">
                  <c:v>3.4</c:v>
                </c:pt>
                <c:pt idx="254">
                  <c:v>3.4</c:v>
                </c:pt>
                <c:pt idx="255">
                  <c:v>3.4</c:v>
                </c:pt>
                <c:pt idx="256">
                  <c:v>3.4</c:v>
                </c:pt>
                <c:pt idx="257">
                  <c:v>3.4</c:v>
                </c:pt>
                <c:pt idx="258">
                  <c:v>3.4</c:v>
                </c:pt>
                <c:pt idx="259">
                  <c:v>3.4</c:v>
                </c:pt>
                <c:pt idx="260">
                  <c:v>3.4</c:v>
                </c:pt>
                <c:pt idx="261">
                  <c:v>3.4</c:v>
                </c:pt>
                <c:pt idx="262">
                  <c:v>3.4</c:v>
                </c:pt>
                <c:pt idx="263">
                  <c:v>3.4</c:v>
                </c:pt>
                <c:pt idx="264">
                  <c:v>3.4</c:v>
                </c:pt>
                <c:pt idx="265">
                  <c:v>3.4</c:v>
                </c:pt>
                <c:pt idx="266">
                  <c:v>3.4</c:v>
                </c:pt>
                <c:pt idx="267">
                  <c:v>3.4</c:v>
                </c:pt>
                <c:pt idx="268">
                  <c:v>3.4</c:v>
                </c:pt>
                <c:pt idx="269">
                  <c:v>3.4</c:v>
                </c:pt>
                <c:pt idx="270">
                  <c:v>3.4</c:v>
                </c:pt>
                <c:pt idx="271">
                  <c:v>3.4</c:v>
                </c:pt>
                <c:pt idx="272">
                  <c:v>3.4</c:v>
                </c:pt>
                <c:pt idx="273">
                  <c:v>3.4</c:v>
                </c:pt>
                <c:pt idx="274">
                  <c:v>3.4</c:v>
                </c:pt>
                <c:pt idx="275">
                  <c:v>3.4</c:v>
                </c:pt>
                <c:pt idx="276">
                  <c:v>3.4</c:v>
                </c:pt>
                <c:pt idx="277">
                  <c:v>3.4</c:v>
                </c:pt>
                <c:pt idx="278">
                  <c:v>3.4</c:v>
                </c:pt>
                <c:pt idx="279">
                  <c:v>3.4</c:v>
                </c:pt>
                <c:pt idx="280">
                  <c:v>3.4</c:v>
                </c:pt>
                <c:pt idx="281">
                  <c:v>3.4</c:v>
                </c:pt>
                <c:pt idx="282">
                  <c:v>3.4</c:v>
                </c:pt>
                <c:pt idx="283">
                  <c:v>3.4</c:v>
                </c:pt>
                <c:pt idx="284">
                  <c:v>3.4</c:v>
                </c:pt>
                <c:pt idx="285">
                  <c:v>3.4</c:v>
                </c:pt>
                <c:pt idx="286">
                  <c:v>3.4</c:v>
                </c:pt>
                <c:pt idx="287">
                  <c:v>3.4</c:v>
                </c:pt>
                <c:pt idx="288">
                  <c:v>3.4</c:v>
                </c:pt>
                <c:pt idx="289">
                  <c:v>3.4</c:v>
                </c:pt>
                <c:pt idx="290">
                  <c:v>3.4</c:v>
                </c:pt>
                <c:pt idx="291">
                  <c:v>3.4</c:v>
                </c:pt>
                <c:pt idx="292">
                  <c:v>3.4</c:v>
                </c:pt>
                <c:pt idx="293">
                  <c:v>3.4</c:v>
                </c:pt>
                <c:pt idx="294">
                  <c:v>3.4</c:v>
                </c:pt>
                <c:pt idx="295">
                  <c:v>3.4</c:v>
                </c:pt>
                <c:pt idx="296">
                  <c:v>3.4</c:v>
                </c:pt>
                <c:pt idx="297">
                  <c:v>3.4</c:v>
                </c:pt>
                <c:pt idx="298">
                  <c:v>3.4</c:v>
                </c:pt>
                <c:pt idx="299">
                  <c:v>3.4</c:v>
                </c:pt>
                <c:pt idx="300">
                  <c:v>3.4</c:v>
                </c:pt>
                <c:pt idx="301">
                  <c:v>3.4</c:v>
                </c:pt>
                <c:pt idx="302">
                  <c:v>3.5</c:v>
                </c:pt>
                <c:pt idx="303">
                  <c:v>3.5</c:v>
                </c:pt>
                <c:pt idx="304">
                  <c:v>3.5</c:v>
                </c:pt>
                <c:pt idx="305">
                  <c:v>3.4</c:v>
                </c:pt>
                <c:pt idx="306">
                  <c:v>3.4</c:v>
                </c:pt>
                <c:pt idx="307">
                  <c:v>3.4</c:v>
                </c:pt>
                <c:pt idx="308">
                  <c:v>3.4</c:v>
                </c:pt>
                <c:pt idx="309">
                  <c:v>3.4</c:v>
                </c:pt>
                <c:pt idx="310">
                  <c:v>3.4</c:v>
                </c:pt>
                <c:pt idx="311">
                  <c:v>3.4</c:v>
                </c:pt>
                <c:pt idx="312">
                  <c:v>3.4</c:v>
                </c:pt>
                <c:pt idx="313">
                  <c:v>3.4</c:v>
                </c:pt>
                <c:pt idx="314">
                  <c:v>3.4</c:v>
                </c:pt>
                <c:pt idx="315">
                  <c:v>3.4</c:v>
                </c:pt>
                <c:pt idx="316">
                  <c:v>3.4</c:v>
                </c:pt>
                <c:pt idx="317">
                  <c:v>3.4</c:v>
                </c:pt>
                <c:pt idx="318">
                  <c:v>3.4</c:v>
                </c:pt>
                <c:pt idx="319">
                  <c:v>3.4</c:v>
                </c:pt>
                <c:pt idx="320">
                  <c:v>3.4</c:v>
                </c:pt>
                <c:pt idx="321">
                  <c:v>3.4</c:v>
                </c:pt>
                <c:pt idx="322">
                  <c:v>3.4</c:v>
                </c:pt>
                <c:pt idx="323">
                  <c:v>3.4</c:v>
                </c:pt>
                <c:pt idx="324">
                  <c:v>3.4</c:v>
                </c:pt>
                <c:pt idx="325">
                  <c:v>3.4</c:v>
                </c:pt>
                <c:pt idx="326">
                  <c:v>3.4</c:v>
                </c:pt>
                <c:pt idx="327">
                  <c:v>3.4</c:v>
                </c:pt>
                <c:pt idx="328">
                  <c:v>3.4</c:v>
                </c:pt>
                <c:pt idx="329">
                  <c:v>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03-4631-9CD9-A687868C73A2}"/>
            </c:ext>
          </c:extLst>
        </c:ser>
        <c:ser>
          <c:idx val="2"/>
          <c:order val="2"/>
          <c:tx>
            <c:strRef>
              <c:f>'Parámetros proceso'!$J$1:$M$1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proceso'!$A$3:$A$233</c:f>
              <c:numCache>
                <c:formatCode>General</c:formatCode>
                <c:ptCount val="2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</c:numCache>
            </c:numRef>
          </c:xVal>
          <c:yVal>
            <c:numRef>
              <c:f>'Parámetros proceso'!$J$3:$J$233</c:f>
              <c:numCache>
                <c:formatCode>General</c:formatCode>
                <c:ptCount val="231"/>
                <c:pt idx="0">
                  <c:v>3.6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3.4</c:v>
                </c:pt>
                <c:pt idx="22">
                  <c:v>3.4</c:v>
                </c:pt>
                <c:pt idx="23">
                  <c:v>3.4</c:v>
                </c:pt>
                <c:pt idx="24">
                  <c:v>3.5</c:v>
                </c:pt>
                <c:pt idx="25">
                  <c:v>3.4</c:v>
                </c:pt>
                <c:pt idx="26">
                  <c:v>3.4</c:v>
                </c:pt>
                <c:pt idx="27">
                  <c:v>3.4</c:v>
                </c:pt>
                <c:pt idx="28">
                  <c:v>3.5</c:v>
                </c:pt>
                <c:pt idx="29">
                  <c:v>3.4</c:v>
                </c:pt>
                <c:pt idx="30">
                  <c:v>3.4</c:v>
                </c:pt>
                <c:pt idx="31">
                  <c:v>3.4</c:v>
                </c:pt>
                <c:pt idx="32">
                  <c:v>3.5</c:v>
                </c:pt>
                <c:pt idx="33">
                  <c:v>3.4</c:v>
                </c:pt>
                <c:pt idx="34">
                  <c:v>3.4</c:v>
                </c:pt>
                <c:pt idx="35">
                  <c:v>3.4</c:v>
                </c:pt>
                <c:pt idx="36">
                  <c:v>3.4</c:v>
                </c:pt>
                <c:pt idx="37">
                  <c:v>3.4</c:v>
                </c:pt>
                <c:pt idx="38">
                  <c:v>3.4</c:v>
                </c:pt>
                <c:pt idx="39">
                  <c:v>3.4</c:v>
                </c:pt>
                <c:pt idx="40">
                  <c:v>3.4</c:v>
                </c:pt>
                <c:pt idx="41">
                  <c:v>3.4</c:v>
                </c:pt>
                <c:pt idx="42">
                  <c:v>3.4</c:v>
                </c:pt>
                <c:pt idx="43">
                  <c:v>3.4</c:v>
                </c:pt>
                <c:pt idx="44">
                  <c:v>3.4</c:v>
                </c:pt>
                <c:pt idx="45">
                  <c:v>3.4</c:v>
                </c:pt>
                <c:pt idx="46">
                  <c:v>3.4</c:v>
                </c:pt>
                <c:pt idx="47">
                  <c:v>3.4</c:v>
                </c:pt>
                <c:pt idx="48">
                  <c:v>3.4</c:v>
                </c:pt>
                <c:pt idx="49">
                  <c:v>3.4</c:v>
                </c:pt>
                <c:pt idx="50">
                  <c:v>3.4</c:v>
                </c:pt>
                <c:pt idx="51">
                  <c:v>3.4</c:v>
                </c:pt>
                <c:pt idx="52">
                  <c:v>3.4</c:v>
                </c:pt>
                <c:pt idx="53">
                  <c:v>3.4</c:v>
                </c:pt>
                <c:pt idx="54">
                  <c:v>3.4</c:v>
                </c:pt>
                <c:pt idx="55">
                  <c:v>3.4</c:v>
                </c:pt>
                <c:pt idx="56">
                  <c:v>3.4</c:v>
                </c:pt>
                <c:pt idx="57">
                  <c:v>3.4</c:v>
                </c:pt>
                <c:pt idx="58">
                  <c:v>3.4</c:v>
                </c:pt>
                <c:pt idx="59">
                  <c:v>3.4</c:v>
                </c:pt>
                <c:pt idx="60">
                  <c:v>3.4</c:v>
                </c:pt>
                <c:pt idx="61">
                  <c:v>3.4</c:v>
                </c:pt>
                <c:pt idx="62">
                  <c:v>3.4</c:v>
                </c:pt>
                <c:pt idx="63">
                  <c:v>3.4</c:v>
                </c:pt>
                <c:pt idx="64">
                  <c:v>3.4</c:v>
                </c:pt>
                <c:pt idx="65">
                  <c:v>3.4</c:v>
                </c:pt>
                <c:pt idx="66">
                  <c:v>3.4</c:v>
                </c:pt>
                <c:pt idx="67">
                  <c:v>3.4</c:v>
                </c:pt>
                <c:pt idx="68">
                  <c:v>3.4</c:v>
                </c:pt>
                <c:pt idx="69">
                  <c:v>3.4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3.4</c:v>
                </c:pt>
                <c:pt idx="74">
                  <c:v>3.4</c:v>
                </c:pt>
                <c:pt idx="75">
                  <c:v>3.4</c:v>
                </c:pt>
                <c:pt idx="76">
                  <c:v>3.4</c:v>
                </c:pt>
                <c:pt idx="77">
                  <c:v>3.4</c:v>
                </c:pt>
                <c:pt idx="78">
                  <c:v>3.4</c:v>
                </c:pt>
                <c:pt idx="79">
                  <c:v>3.4</c:v>
                </c:pt>
                <c:pt idx="80">
                  <c:v>3.4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3.4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3.4</c:v>
                </c:pt>
                <c:pt idx="93">
                  <c:v>3.4</c:v>
                </c:pt>
                <c:pt idx="94">
                  <c:v>3.4</c:v>
                </c:pt>
                <c:pt idx="95">
                  <c:v>3.4</c:v>
                </c:pt>
                <c:pt idx="96">
                  <c:v>3.4</c:v>
                </c:pt>
                <c:pt idx="97">
                  <c:v>3.4</c:v>
                </c:pt>
                <c:pt idx="98">
                  <c:v>3.4</c:v>
                </c:pt>
                <c:pt idx="99">
                  <c:v>3.4</c:v>
                </c:pt>
                <c:pt idx="100">
                  <c:v>3.4</c:v>
                </c:pt>
                <c:pt idx="101">
                  <c:v>3.4</c:v>
                </c:pt>
                <c:pt idx="102">
                  <c:v>3.4</c:v>
                </c:pt>
                <c:pt idx="103">
                  <c:v>3.4</c:v>
                </c:pt>
                <c:pt idx="104">
                  <c:v>3.4</c:v>
                </c:pt>
                <c:pt idx="105">
                  <c:v>3.4</c:v>
                </c:pt>
                <c:pt idx="106">
                  <c:v>3.4</c:v>
                </c:pt>
                <c:pt idx="107">
                  <c:v>3.4</c:v>
                </c:pt>
                <c:pt idx="108">
                  <c:v>3.4</c:v>
                </c:pt>
                <c:pt idx="109">
                  <c:v>3.5</c:v>
                </c:pt>
                <c:pt idx="110">
                  <c:v>3.4</c:v>
                </c:pt>
                <c:pt idx="111">
                  <c:v>3.4</c:v>
                </c:pt>
                <c:pt idx="112">
                  <c:v>3.4</c:v>
                </c:pt>
                <c:pt idx="113">
                  <c:v>3.4</c:v>
                </c:pt>
                <c:pt idx="114">
                  <c:v>3.4</c:v>
                </c:pt>
                <c:pt idx="115">
                  <c:v>3.4</c:v>
                </c:pt>
                <c:pt idx="116">
                  <c:v>3.4</c:v>
                </c:pt>
                <c:pt idx="117">
                  <c:v>3.4</c:v>
                </c:pt>
                <c:pt idx="118">
                  <c:v>3.4</c:v>
                </c:pt>
                <c:pt idx="119">
                  <c:v>3.4</c:v>
                </c:pt>
                <c:pt idx="120">
                  <c:v>3.4</c:v>
                </c:pt>
                <c:pt idx="121">
                  <c:v>3.4</c:v>
                </c:pt>
                <c:pt idx="122">
                  <c:v>3.4</c:v>
                </c:pt>
                <c:pt idx="123">
                  <c:v>3.4</c:v>
                </c:pt>
                <c:pt idx="124">
                  <c:v>3.4</c:v>
                </c:pt>
                <c:pt idx="125">
                  <c:v>3.4</c:v>
                </c:pt>
                <c:pt idx="126">
                  <c:v>3.4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</c:v>
                </c:pt>
                <c:pt idx="131">
                  <c:v>3.4</c:v>
                </c:pt>
                <c:pt idx="132">
                  <c:v>3.4</c:v>
                </c:pt>
                <c:pt idx="133">
                  <c:v>3.4</c:v>
                </c:pt>
                <c:pt idx="134">
                  <c:v>3.4</c:v>
                </c:pt>
                <c:pt idx="135">
                  <c:v>3.4</c:v>
                </c:pt>
                <c:pt idx="136">
                  <c:v>3.4</c:v>
                </c:pt>
                <c:pt idx="137">
                  <c:v>3.4</c:v>
                </c:pt>
                <c:pt idx="138">
                  <c:v>3.4</c:v>
                </c:pt>
                <c:pt idx="139">
                  <c:v>3.4</c:v>
                </c:pt>
                <c:pt idx="140">
                  <c:v>3.4</c:v>
                </c:pt>
                <c:pt idx="141">
                  <c:v>3.4</c:v>
                </c:pt>
                <c:pt idx="142">
                  <c:v>3.4</c:v>
                </c:pt>
                <c:pt idx="143">
                  <c:v>3.4</c:v>
                </c:pt>
                <c:pt idx="144">
                  <c:v>3.4</c:v>
                </c:pt>
                <c:pt idx="145">
                  <c:v>3.4</c:v>
                </c:pt>
                <c:pt idx="146">
                  <c:v>3.4</c:v>
                </c:pt>
                <c:pt idx="147">
                  <c:v>3.4</c:v>
                </c:pt>
                <c:pt idx="148">
                  <c:v>3.4</c:v>
                </c:pt>
                <c:pt idx="149">
                  <c:v>3.4</c:v>
                </c:pt>
                <c:pt idx="150">
                  <c:v>3.4</c:v>
                </c:pt>
                <c:pt idx="151">
                  <c:v>3.4</c:v>
                </c:pt>
                <c:pt idx="152">
                  <c:v>3.4</c:v>
                </c:pt>
                <c:pt idx="153">
                  <c:v>3.4</c:v>
                </c:pt>
                <c:pt idx="154">
                  <c:v>3.4</c:v>
                </c:pt>
                <c:pt idx="155">
                  <c:v>3.4</c:v>
                </c:pt>
                <c:pt idx="156">
                  <c:v>3.4</c:v>
                </c:pt>
                <c:pt idx="157">
                  <c:v>3.4</c:v>
                </c:pt>
                <c:pt idx="158">
                  <c:v>3.4</c:v>
                </c:pt>
                <c:pt idx="159">
                  <c:v>3.4</c:v>
                </c:pt>
                <c:pt idx="160">
                  <c:v>3.4</c:v>
                </c:pt>
                <c:pt idx="161">
                  <c:v>3.4</c:v>
                </c:pt>
                <c:pt idx="162">
                  <c:v>3.4</c:v>
                </c:pt>
                <c:pt idx="163">
                  <c:v>3.4</c:v>
                </c:pt>
                <c:pt idx="164">
                  <c:v>3.4</c:v>
                </c:pt>
                <c:pt idx="165">
                  <c:v>3.4</c:v>
                </c:pt>
                <c:pt idx="166">
                  <c:v>3.4</c:v>
                </c:pt>
                <c:pt idx="167">
                  <c:v>3.4</c:v>
                </c:pt>
                <c:pt idx="168">
                  <c:v>3.4</c:v>
                </c:pt>
                <c:pt idx="169">
                  <c:v>3.4</c:v>
                </c:pt>
                <c:pt idx="170">
                  <c:v>3.4</c:v>
                </c:pt>
                <c:pt idx="171">
                  <c:v>3.4</c:v>
                </c:pt>
                <c:pt idx="172">
                  <c:v>3.4</c:v>
                </c:pt>
                <c:pt idx="173">
                  <c:v>3.4</c:v>
                </c:pt>
                <c:pt idx="174">
                  <c:v>3.4</c:v>
                </c:pt>
                <c:pt idx="175">
                  <c:v>3.4</c:v>
                </c:pt>
                <c:pt idx="176">
                  <c:v>3.4</c:v>
                </c:pt>
                <c:pt idx="177">
                  <c:v>3.4</c:v>
                </c:pt>
                <c:pt idx="178">
                  <c:v>3.4</c:v>
                </c:pt>
                <c:pt idx="179">
                  <c:v>3.4</c:v>
                </c:pt>
                <c:pt idx="180">
                  <c:v>3.4</c:v>
                </c:pt>
                <c:pt idx="181">
                  <c:v>3.4</c:v>
                </c:pt>
                <c:pt idx="182">
                  <c:v>3.4</c:v>
                </c:pt>
                <c:pt idx="183">
                  <c:v>3.4</c:v>
                </c:pt>
                <c:pt idx="184">
                  <c:v>3.4</c:v>
                </c:pt>
                <c:pt idx="185">
                  <c:v>3.4</c:v>
                </c:pt>
                <c:pt idx="186">
                  <c:v>3.4</c:v>
                </c:pt>
                <c:pt idx="187">
                  <c:v>3.4</c:v>
                </c:pt>
                <c:pt idx="188">
                  <c:v>3.4</c:v>
                </c:pt>
                <c:pt idx="189">
                  <c:v>3.4</c:v>
                </c:pt>
                <c:pt idx="190">
                  <c:v>3.4</c:v>
                </c:pt>
                <c:pt idx="191">
                  <c:v>3.4</c:v>
                </c:pt>
                <c:pt idx="192">
                  <c:v>3.4</c:v>
                </c:pt>
                <c:pt idx="193">
                  <c:v>3.4</c:v>
                </c:pt>
                <c:pt idx="194">
                  <c:v>3.4</c:v>
                </c:pt>
                <c:pt idx="195">
                  <c:v>3.4</c:v>
                </c:pt>
                <c:pt idx="196">
                  <c:v>3.4</c:v>
                </c:pt>
                <c:pt idx="197">
                  <c:v>3.4</c:v>
                </c:pt>
                <c:pt idx="198">
                  <c:v>3.4</c:v>
                </c:pt>
                <c:pt idx="199">
                  <c:v>3.4</c:v>
                </c:pt>
                <c:pt idx="200">
                  <c:v>3.4</c:v>
                </c:pt>
                <c:pt idx="201">
                  <c:v>3.4</c:v>
                </c:pt>
                <c:pt idx="202">
                  <c:v>3.4</c:v>
                </c:pt>
                <c:pt idx="203">
                  <c:v>3.4</c:v>
                </c:pt>
                <c:pt idx="204">
                  <c:v>3.4</c:v>
                </c:pt>
                <c:pt idx="205">
                  <c:v>3.4</c:v>
                </c:pt>
                <c:pt idx="206">
                  <c:v>3.4</c:v>
                </c:pt>
                <c:pt idx="207">
                  <c:v>3.4</c:v>
                </c:pt>
                <c:pt idx="208">
                  <c:v>3.4</c:v>
                </c:pt>
                <c:pt idx="209">
                  <c:v>3.4</c:v>
                </c:pt>
                <c:pt idx="210">
                  <c:v>3.4</c:v>
                </c:pt>
                <c:pt idx="211">
                  <c:v>3.4</c:v>
                </c:pt>
                <c:pt idx="212">
                  <c:v>3.4</c:v>
                </c:pt>
                <c:pt idx="213">
                  <c:v>3.4</c:v>
                </c:pt>
                <c:pt idx="214">
                  <c:v>3.4</c:v>
                </c:pt>
                <c:pt idx="215">
                  <c:v>3.4</c:v>
                </c:pt>
                <c:pt idx="216">
                  <c:v>3.4</c:v>
                </c:pt>
                <c:pt idx="217">
                  <c:v>3.4</c:v>
                </c:pt>
                <c:pt idx="218">
                  <c:v>3.4</c:v>
                </c:pt>
                <c:pt idx="219">
                  <c:v>3.4</c:v>
                </c:pt>
                <c:pt idx="220">
                  <c:v>3.4</c:v>
                </c:pt>
                <c:pt idx="221">
                  <c:v>3.4</c:v>
                </c:pt>
                <c:pt idx="222">
                  <c:v>3.4</c:v>
                </c:pt>
                <c:pt idx="223">
                  <c:v>3.4</c:v>
                </c:pt>
                <c:pt idx="224">
                  <c:v>3.4</c:v>
                </c:pt>
                <c:pt idx="225">
                  <c:v>3.4</c:v>
                </c:pt>
                <c:pt idx="226">
                  <c:v>3.4</c:v>
                </c:pt>
                <c:pt idx="227">
                  <c:v>3.4</c:v>
                </c:pt>
                <c:pt idx="228">
                  <c:v>3.4</c:v>
                </c:pt>
                <c:pt idx="229">
                  <c:v>3.4</c:v>
                </c:pt>
                <c:pt idx="230">
                  <c:v>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03-4631-9CD9-A687868C73A2}"/>
            </c:ext>
          </c:extLst>
        </c:ser>
        <c:ser>
          <c:idx val="3"/>
          <c:order val="3"/>
          <c:tx>
            <c:strRef>
              <c:f>'Parámetros proceso'!$N$1:$Q$1</c:f>
              <c:strCache>
                <c:ptCount val="1"/>
                <c:pt idx="0">
                  <c:v>Lote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proceso'!$A$3:$A$246</c:f>
              <c:numCache>
                <c:formatCode>General</c:formatCode>
                <c:ptCount val="2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</c:numCache>
            </c:numRef>
          </c:xVal>
          <c:yVal>
            <c:numRef>
              <c:f>'Parámetros proceso'!$N$3:$N$246</c:f>
              <c:numCache>
                <c:formatCode>General</c:formatCode>
                <c:ptCount val="244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3.4</c:v>
                </c:pt>
                <c:pt idx="14">
                  <c:v>3.5</c:v>
                </c:pt>
                <c:pt idx="15">
                  <c:v>3.5</c:v>
                </c:pt>
                <c:pt idx="16">
                  <c:v>3.5</c:v>
                </c:pt>
                <c:pt idx="17">
                  <c:v>3.4</c:v>
                </c:pt>
                <c:pt idx="18">
                  <c:v>3.4</c:v>
                </c:pt>
                <c:pt idx="19">
                  <c:v>3.5</c:v>
                </c:pt>
                <c:pt idx="20">
                  <c:v>3.5</c:v>
                </c:pt>
                <c:pt idx="21">
                  <c:v>3.4</c:v>
                </c:pt>
                <c:pt idx="22">
                  <c:v>3.4</c:v>
                </c:pt>
                <c:pt idx="23">
                  <c:v>3.4</c:v>
                </c:pt>
                <c:pt idx="24">
                  <c:v>3.5</c:v>
                </c:pt>
                <c:pt idx="25">
                  <c:v>3.4</c:v>
                </c:pt>
                <c:pt idx="26">
                  <c:v>3.4</c:v>
                </c:pt>
                <c:pt idx="27">
                  <c:v>3.4</c:v>
                </c:pt>
                <c:pt idx="28">
                  <c:v>3.4</c:v>
                </c:pt>
                <c:pt idx="29">
                  <c:v>3.4</c:v>
                </c:pt>
                <c:pt idx="30">
                  <c:v>3.4</c:v>
                </c:pt>
                <c:pt idx="31">
                  <c:v>3.4</c:v>
                </c:pt>
                <c:pt idx="32">
                  <c:v>3.4</c:v>
                </c:pt>
                <c:pt idx="33">
                  <c:v>3.4</c:v>
                </c:pt>
                <c:pt idx="34">
                  <c:v>3.4</c:v>
                </c:pt>
                <c:pt idx="35">
                  <c:v>3.4</c:v>
                </c:pt>
                <c:pt idx="36">
                  <c:v>3.4</c:v>
                </c:pt>
                <c:pt idx="37">
                  <c:v>3.4</c:v>
                </c:pt>
                <c:pt idx="38">
                  <c:v>3.4</c:v>
                </c:pt>
                <c:pt idx="39">
                  <c:v>3.4</c:v>
                </c:pt>
                <c:pt idx="40">
                  <c:v>3.4</c:v>
                </c:pt>
                <c:pt idx="41">
                  <c:v>3.4</c:v>
                </c:pt>
                <c:pt idx="42">
                  <c:v>3.4</c:v>
                </c:pt>
                <c:pt idx="43">
                  <c:v>3.4</c:v>
                </c:pt>
                <c:pt idx="44">
                  <c:v>3.4</c:v>
                </c:pt>
                <c:pt idx="45">
                  <c:v>3.4</c:v>
                </c:pt>
                <c:pt idx="46">
                  <c:v>3.4</c:v>
                </c:pt>
                <c:pt idx="47">
                  <c:v>3.4</c:v>
                </c:pt>
                <c:pt idx="48">
                  <c:v>3.4</c:v>
                </c:pt>
                <c:pt idx="49">
                  <c:v>3.4</c:v>
                </c:pt>
                <c:pt idx="50">
                  <c:v>3.4</c:v>
                </c:pt>
                <c:pt idx="51">
                  <c:v>3.4</c:v>
                </c:pt>
                <c:pt idx="52">
                  <c:v>3.4</c:v>
                </c:pt>
                <c:pt idx="53">
                  <c:v>3.4</c:v>
                </c:pt>
                <c:pt idx="54">
                  <c:v>3.4</c:v>
                </c:pt>
                <c:pt idx="55">
                  <c:v>3.4</c:v>
                </c:pt>
                <c:pt idx="56">
                  <c:v>3.4</c:v>
                </c:pt>
                <c:pt idx="57">
                  <c:v>3.4</c:v>
                </c:pt>
                <c:pt idx="58">
                  <c:v>3.4</c:v>
                </c:pt>
                <c:pt idx="59">
                  <c:v>3.4</c:v>
                </c:pt>
                <c:pt idx="60">
                  <c:v>3.4</c:v>
                </c:pt>
                <c:pt idx="61">
                  <c:v>3.4</c:v>
                </c:pt>
                <c:pt idx="62">
                  <c:v>3.4</c:v>
                </c:pt>
                <c:pt idx="63">
                  <c:v>3.4</c:v>
                </c:pt>
                <c:pt idx="64">
                  <c:v>3.4</c:v>
                </c:pt>
                <c:pt idx="65">
                  <c:v>3.4</c:v>
                </c:pt>
                <c:pt idx="66">
                  <c:v>3.4</c:v>
                </c:pt>
                <c:pt idx="67">
                  <c:v>3.4</c:v>
                </c:pt>
                <c:pt idx="68">
                  <c:v>3.4</c:v>
                </c:pt>
                <c:pt idx="69">
                  <c:v>3.4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3.4</c:v>
                </c:pt>
                <c:pt idx="74">
                  <c:v>3.4</c:v>
                </c:pt>
                <c:pt idx="75">
                  <c:v>3.4</c:v>
                </c:pt>
                <c:pt idx="76">
                  <c:v>3.4</c:v>
                </c:pt>
                <c:pt idx="77">
                  <c:v>3.4</c:v>
                </c:pt>
                <c:pt idx="78">
                  <c:v>3.4</c:v>
                </c:pt>
                <c:pt idx="79">
                  <c:v>3.4</c:v>
                </c:pt>
                <c:pt idx="80">
                  <c:v>3.4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3.4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3.4</c:v>
                </c:pt>
                <c:pt idx="93">
                  <c:v>3.4</c:v>
                </c:pt>
                <c:pt idx="94">
                  <c:v>3.4</c:v>
                </c:pt>
                <c:pt idx="95">
                  <c:v>3.4</c:v>
                </c:pt>
                <c:pt idx="96">
                  <c:v>3.4</c:v>
                </c:pt>
                <c:pt idx="97">
                  <c:v>3.4</c:v>
                </c:pt>
                <c:pt idx="98">
                  <c:v>3.4</c:v>
                </c:pt>
                <c:pt idx="99">
                  <c:v>3.4</c:v>
                </c:pt>
                <c:pt idx="100">
                  <c:v>3.4</c:v>
                </c:pt>
                <c:pt idx="101">
                  <c:v>3.4</c:v>
                </c:pt>
                <c:pt idx="102">
                  <c:v>3.4</c:v>
                </c:pt>
                <c:pt idx="103">
                  <c:v>3.4</c:v>
                </c:pt>
                <c:pt idx="104">
                  <c:v>3.4</c:v>
                </c:pt>
                <c:pt idx="105">
                  <c:v>3.4</c:v>
                </c:pt>
                <c:pt idx="106">
                  <c:v>3.4</c:v>
                </c:pt>
                <c:pt idx="107">
                  <c:v>3.4</c:v>
                </c:pt>
                <c:pt idx="108">
                  <c:v>3.4</c:v>
                </c:pt>
                <c:pt idx="109">
                  <c:v>3.4</c:v>
                </c:pt>
                <c:pt idx="110">
                  <c:v>3.4</c:v>
                </c:pt>
                <c:pt idx="111">
                  <c:v>3.4</c:v>
                </c:pt>
                <c:pt idx="112">
                  <c:v>3.4</c:v>
                </c:pt>
                <c:pt idx="113">
                  <c:v>3.4</c:v>
                </c:pt>
                <c:pt idx="114">
                  <c:v>3.4</c:v>
                </c:pt>
                <c:pt idx="115">
                  <c:v>3.4</c:v>
                </c:pt>
                <c:pt idx="116">
                  <c:v>3.4</c:v>
                </c:pt>
                <c:pt idx="117">
                  <c:v>3.4</c:v>
                </c:pt>
                <c:pt idx="118">
                  <c:v>3.4</c:v>
                </c:pt>
                <c:pt idx="119">
                  <c:v>3.4</c:v>
                </c:pt>
                <c:pt idx="120">
                  <c:v>3.4</c:v>
                </c:pt>
                <c:pt idx="121">
                  <c:v>3.4</c:v>
                </c:pt>
                <c:pt idx="122">
                  <c:v>3.4</c:v>
                </c:pt>
                <c:pt idx="123">
                  <c:v>3.4</c:v>
                </c:pt>
                <c:pt idx="124">
                  <c:v>3.4</c:v>
                </c:pt>
                <c:pt idx="125">
                  <c:v>3.4</c:v>
                </c:pt>
                <c:pt idx="126">
                  <c:v>3.4</c:v>
                </c:pt>
                <c:pt idx="127">
                  <c:v>3.4</c:v>
                </c:pt>
                <c:pt idx="128">
                  <c:v>3.4</c:v>
                </c:pt>
                <c:pt idx="129">
                  <c:v>3.5</c:v>
                </c:pt>
                <c:pt idx="130">
                  <c:v>3.5</c:v>
                </c:pt>
                <c:pt idx="131">
                  <c:v>3.4</c:v>
                </c:pt>
                <c:pt idx="132">
                  <c:v>3.4</c:v>
                </c:pt>
                <c:pt idx="133">
                  <c:v>3.4</c:v>
                </c:pt>
                <c:pt idx="134">
                  <c:v>3.4</c:v>
                </c:pt>
                <c:pt idx="135">
                  <c:v>3.4</c:v>
                </c:pt>
                <c:pt idx="136">
                  <c:v>3.4</c:v>
                </c:pt>
                <c:pt idx="137">
                  <c:v>3.4</c:v>
                </c:pt>
                <c:pt idx="138">
                  <c:v>3.4</c:v>
                </c:pt>
                <c:pt idx="139">
                  <c:v>3.4</c:v>
                </c:pt>
                <c:pt idx="140">
                  <c:v>3.4</c:v>
                </c:pt>
                <c:pt idx="141">
                  <c:v>3.4</c:v>
                </c:pt>
                <c:pt idx="142">
                  <c:v>3.4</c:v>
                </c:pt>
                <c:pt idx="143">
                  <c:v>3.4</c:v>
                </c:pt>
                <c:pt idx="144">
                  <c:v>3.4</c:v>
                </c:pt>
                <c:pt idx="145">
                  <c:v>3.4</c:v>
                </c:pt>
                <c:pt idx="146">
                  <c:v>3.4</c:v>
                </c:pt>
                <c:pt idx="147">
                  <c:v>3.4</c:v>
                </c:pt>
                <c:pt idx="148">
                  <c:v>3.4</c:v>
                </c:pt>
                <c:pt idx="149">
                  <c:v>3.4</c:v>
                </c:pt>
                <c:pt idx="150">
                  <c:v>3.4</c:v>
                </c:pt>
                <c:pt idx="151">
                  <c:v>3.4</c:v>
                </c:pt>
                <c:pt idx="152">
                  <c:v>3.4</c:v>
                </c:pt>
                <c:pt idx="153">
                  <c:v>3.4</c:v>
                </c:pt>
                <c:pt idx="154">
                  <c:v>3.4</c:v>
                </c:pt>
                <c:pt idx="155">
                  <c:v>3.4</c:v>
                </c:pt>
                <c:pt idx="156">
                  <c:v>3.4</c:v>
                </c:pt>
                <c:pt idx="157">
                  <c:v>3.4</c:v>
                </c:pt>
                <c:pt idx="158">
                  <c:v>3.4</c:v>
                </c:pt>
                <c:pt idx="159">
                  <c:v>3.4</c:v>
                </c:pt>
                <c:pt idx="160">
                  <c:v>3.4</c:v>
                </c:pt>
                <c:pt idx="161">
                  <c:v>3.4</c:v>
                </c:pt>
                <c:pt idx="162">
                  <c:v>3.4</c:v>
                </c:pt>
                <c:pt idx="163">
                  <c:v>3.4</c:v>
                </c:pt>
                <c:pt idx="164">
                  <c:v>3.4</c:v>
                </c:pt>
                <c:pt idx="165">
                  <c:v>3.4</c:v>
                </c:pt>
                <c:pt idx="166">
                  <c:v>3.4</c:v>
                </c:pt>
                <c:pt idx="167">
                  <c:v>3.4</c:v>
                </c:pt>
                <c:pt idx="168">
                  <c:v>3.4</c:v>
                </c:pt>
                <c:pt idx="169">
                  <c:v>3.4</c:v>
                </c:pt>
                <c:pt idx="170">
                  <c:v>3.4</c:v>
                </c:pt>
                <c:pt idx="171">
                  <c:v>3.4</c:v>
                </c:pt>
                <c:pt idx="172">
                  <c:v>3.4</c:v>
                </c:pt>
                <c:pt idx="173">
                  <c:v>3.4</c:v>
                </c:pt>
                <c:pt idx="174">
                  <c:v>3.4</c:v>
                </c:pt>
                <c:pt idx="175">
                  <c:v>3.4</c:v>
                </c:pt>
                <c:pt idx="176">
                  <c:v>3.4</c:v>
                </c:pt>
                <c:pt idx="177">
                  <c:v>3.4</c:v>
                </c:pt>
                <c:pt idx="178">
                  <c:v>3.4</c:v>
                </c:pt>
                <c:pt idx="179">
                  <c:v>3.4</c:v>
                </c:pt>
                <c:pt idx="180">
                  <c:v>3.4</c:v>
                </c:pt>
                <c:pt idx="181">
                  <c:v>3.4</c:v>
                </c:pt>
                <c:pt idx="182">
                  <c:v>3.4</c:v>
                </c:pt>
                <c:pt idx="183">
                  <c:v>3.4</c:v>
                </c:pt>
                <c:pt idx="184">
                  <c:v>3.4</c:v>
                </c:pt>
                <c:pt idx="185">
                  <c:v>3.4</c:v>
                </c:pt>
                <c:pt idx="186">
                  <c:v>3.4</c:v>
                </c:pt>
                <c:pt idx="187">
                  <c:v>3.4</c:v>
                </c:pt>
                <c:pt idx="188">
                  <c:v>3.4</c:v>
                </c:pt>
                <c:pt idx="189">
                  <c:v>3.4</c:v>
                </c:pt>
                <c:pt idx="190">
                  <c:v>3.4</c:v>
                </c:pt>
                <c:pt idx="191">
                  <c:v>3.4</c:v>
                </c:pt>
                <c:pt idx="192">
                  <c:v>3.4</c:v>
                </c:pt>
                <c:pt idx="193">
                  <c:v>3.4</c:v>
                </c:pt>
                <c:pt idx="194">
                  <c:v>3.4</c:v>
                </c:pt>
                <c:pt idx="195">
                  <c:v>3.4</c:v>
                </c:pt>
                <c:pt idx="196">
                  <c:v>3.4</c:v>
                </c:pt>
                <c:pt idx="197">
                  <c:v>3.4</c:v>
                </c:pt>
                <c:pt idx="198">
                  <c:v>3.4</c:v>
                </c:pt>
                <c:pt idx="199">
                  <c:v>3.4</c:v>
                </c:pt>
                <c:pt idx="200">
                  <c:v>3.4</c:v>
                </c:pt>
                <c:pt idx="201">
                  <c:v>3.4</c:v>
                </c:pt>
                <c:pt idx="202">
                  <c:v>3.4</c:v>
                </c:pt>
                <c:pt idx="203">
                  <c:v>3.4</c:v>
                </c:pt>
                <c:pt idx="204">
                  <c:v>3.4</c:v>
                </c:pt>
                <c:pt idx="205">
                  <c:v>3.4</c:v>
                </c:pt>
                <c:pt idx="206">
                  <c:v>3.4</c:v>
                </c:pt>
                <c:pt idx="207">
                  <c:v>3.4</c:v>
                </c:pt>
                <c:pt idx="208">
                  <c:v>3.4</c:v>
                </c:pt>
                <c:pt idx="209">
                  <c:v>3.4</c:v>
                </c:pt>
                <c:pt idx="210">
                  <c:v>3.4</c:v>
                </c:pt>
                <c:pt idx="211">
                  <c:v>3.4</c:v>
                </c:pt>
                <c:pt idx="212">
                  <c:v>3.4</c:v>
                </c:pt>
                <c:pt idx="213">
                  <c:v>3.4</c:v>
                </c:pt>
                <c:pt idx="214">
                  <c:v>3.4</c:v>
                </c:pt>
                <c:pt idx="215">
                  <c:v>3.4</c:v>
                </c:pt>
                <c:pt idx="216">
                  <c:v>3.4</c:v>
                </c:pt>
                <c:pt idx="217">
                  <c:v>3.4</c:v>
                </c:pt>
                <c:pt idx="218">
                  <c:v>3.4</c:v>
                </c:pt>
                <c:pt idx="219">
                  <c:v>3.4</c:v>
                </c:pt>
                <c:pt idx="220">
                  <c:v>3.4</c:v>
                </c:pt>
                <c:pt idx="221">
                  <c:v>3.4</c:v>
                </c:pt>
                <c:pt idx="222">
                  <c:v>3.4</c:v>
                </c:pt>
                <c:pt idx="223">
                  <c:v>3.4</c:v>
                </c:pt>
                <c:pt idx="224">
                  <c:v>3.4</c:v>
                </c:pt>
                <c:pt idx="225">
                  <c:v>3.4</c:v>
                </c:pt>
                <c:pt idx="226">
                  <c:v>3.4</c:v>
                </c:pt>
                <c:pt idx="227">
                  <c:v>3.4</c:v>
                </c:pt>
                <c:pt idx="228">
                  <c:v>3.4</c:v>
                </c:pt>
                <c:pt idx="229">
                  <c:v>3.4</c:v>
                </c:pt>
                <c:pt idx="230">
                  <c:v>3.4</c:v>
                </c:pt>
                <c:pt idx="231">
                  <c:v>3.4</c:v>
                </c:pt>
                <c:pt idx="232">
                  <c:v>3.4</c:v>
                </c:pt>
                <c:pt idx="233">
                  <c:v>3.4</c:v>
                </c:pt>
                <c:pt idx="234">
                  <c:v>3.4</c:v>
                </c:pt>
                <c:pt idx="235">
                  <c:v>3.4</c:v>
                </c:pt>
                <c:pt idx="236">
                  <c:v>3.4</c:v>
                </c:pt>
                <c:pt idx="237">
                  <c:v>3.4</c:v>
                </c:pt>
                <c:pt idx="238">
                  <c:v>3.4</c:v>
                </c:pt>
                <c:pt idx="239">
                  <c:v>3.4</c:v>
                </c:pt>
                <c:pt idx="240">
                  <c:v>3.4</c:v>
                </c:pt>
                <c:pt idx="241">
                  <c:v>3.4</c:v>
                </c:pt>
                <c:pt idx="242">
                  <c:v>3.4</c:v>
                </c:pt>
                <c:pt idx="243">
                  <c:v>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F03-4631-9CD9-A687868C7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787183"/>
        <c:axId val="1839731023"/>
      </c:scatterChart>
      <c:valAx>
        <c:axId val="1839787183"/>
        <c:scaling>
          <c:orientation val="minMax"/>
          <c:max val="3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200" b="1"/>
                  <a:t>Tiempo</a:t>
                </a:r>
                <a:r>
                  <a:rPr lang="es-ES" sz="1200" b="1" baseline="0"/>
                  <a:t> [min]</a:t>
                </a:r>
                <a:endParaRPr lang="es-E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9731023"/>
        <c:crosses val="autoZero"/>
        <c:crossBetween val="midCat"/>
        <c:majorUnit val="20"/>
      </c:valAx>
      <c:valAx>
        <c:axId val="1839731023"/>
        <c:scaling>
          <c:orientation val="minMax"/>
          <c:min val="3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200" b="1"/>
                  <a:t>P atomiz</a:t>
                </a:r>
                <a:r>
                  <a:rPr lang="es-ES" sz="1200" b="1" baseline="0"/>
                  <a:t> [bar]</a:t>
                </a:r>
                <a:endParaRPr lang="es-ES" sz="1200" b="1"/>
              </a:p>
            </c:rich>
          </c:tx>
          <c:layout>
            <c:manualLayout>
              <c:xMode val="edge"/>
              <c:yMode val="edge"/>
              <c:x val="1.3108614232209739E-2"/>
              <c:y val="0.342851421565355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9787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97543425049399"/>
          <c:y val="0.76855328644010223"/>
          <c:w val="0.50515939721018011"/>
          <c:h val="7.3789685236685248E-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902946120498982E-2"/>
          <c:y val="3.7752032651049344E-2"/>
          <c:w val="0.88376537202512606"/>
          <c:h val="0.810130245863828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'Parámetros proceso'!$B$1:$E$1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proceso'!$A$3:$A$272</c:f>
              <c:numCache>
                <c:formatCode>General</c:formatCode>
                <c:ptCount val="2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</c:numCache>
            </c:numRef>
          </c:xVal>
          <c:yVal>
            <c:numRef>
              <c:f>'Parámetros proceso'!$C$3:$C$272</c:f>
              <c:numCache>
                <c:formatCode>General</c:formatCode>
                <c:ptCount val="270"/>
                <c:pt idx="0">
                  <c:v>5.7</c:v>
                </c:pt>
                <c:pt idx="1">
                  <c:v>6.3</c:v>
                </c:pt>
                <c:pt idx="2">
                  <c:v>6.2</c:v>
                </c:pt>
                <c:pt idx="3">
                  <c:v>5.9</c:v>
                </c:pt>
                <c:pt idx="4">
                  <c:v>5.9</c:v>
                </c:pt>
                <c:pt idx="5">
                  <c:v>6.2</c:v>
                </c:pt>
                <c:pt idx="6">
                  <c:v>6</c:v>
                </c:pt>
                <c:pt idx="7">
                  <c:v>5.6</c:v>
                </c:pt>
                <c:pt idx="8">
                  <c:v>6.2</c:v>
                </c:pt>
                <c:pt idx="9">
                  <c:v>6.1</c:v>
                </c:pt>
                <c:pt idx="10">
                  <c:v>5.7</c:v>
                </c:pt>
                <c:pt idx="11">
                  <c:v>6.3</c:v>
                </c:pt>
                <c:pt idx="12">
                  <c:v>6</c:v>
                </c:pt>
                <c:pt idx="13">
                  <c:v>5.6</c:v>
                </c:pt>
                <c:pt idx="14">
                  <c:v>6.2</c:v>
                </c:pt>
                <c:pt idx="15">
                  <c:v>6.1</c:v>
                </c:pt>
                <c:pt idx="16">
                  <c:v>5.8</c:v>
                </c:pt>
                <c:pt idx="17">
                  <c:v>6.3</c:v>
                </c:pt>
                <c:pt idx="18">
                  <c:v>6.1</c:v>
                </c:pt>
                <c:pt idx="19">
                  <c:v>5.8</c:v>
                </c:pt>
                <c:pt idx="20">
                  <c:v>6.2</c:v>
                </c:pt>
                <c:pt idx="21">
                  <c:v>6.1</c:v>
                </c:pt>
                <c:pt idx="22">
                  <c:v>5.9</c:v>
                </c:pt>
                <c:pt idx="23">
                  <c:v>6.2</c:v>
                </c:pt>
                <c:pt idx="24">
                  <c:v>6</c:v>
                </c:pt>
                <c:pt idx="25">
                  <c:v>5.8</c:v>
                </c:pt>
                <c:pt idx="26">
                  <c:v>6.3</c:v>
                </c:pt>
                <c:pt idx="27">
                  <c:v>6.1</c:v>
                </c:pt>
                <c:pt idx="28">
                  <c:v>5.9</c:v>
                </c:pt>
                <c:pt idx="29">
                  <c:v>6.1</c:v>
                </c:pt>
                <c:pt idx="30">
                  <c:v>6.2</c:v>
                </c:pt>
                <c:pt idx="31">
                  <c:v>6</c:v>
                </c:pt>
                <c:pt idx="32">
                  <c:v>5.9</c:v>
                </c:pt>
                <c:pt idx="33">
                  <c:v>6.2</c:v>
                </c:pt>
                <c:pt idx="34">
                  <c:v>6</c:v>
                </c:pt>
                <c:pt idx="35">
                  <c:v>5.7</c:v>
                </c:pt>
                <c:pt idx="36">
                  <c:v>6.1</c:v>
                </c:pt>
                <c:pt idx="37">
                  <c:v>5.8</c:v>
                </c:pt>
                <c:pt idx="38">
                  <c:v>6.2</c:v>
                </c:pt>
                <c:pt idx="39">
                  <c:v>6.2</c:v>
                </c:pt>
                <c:pt idx="40">
                  <c:v>6.1</c:v>
                </c:pt>
                <c:pt idx="41">
                  <c:v>5.8</c:v>
                </c:pt>
                <c:pt idx="42">
                  <c:v>6.3</c:v>
                </c:pt>
                <c:pt idx="43">
                  <c:v>6.2</c:v>
                </c:pt>
                <c:pt idx="44">
                  <c:v>6.1</c:v>
                </c:pt>
                <c:pt idx="45">
                  <c:v>5.8</c:v>
                </c:pt>
                <c:pt idx="46">
                  <c:v>6.2</c:v>
                </c:pt>
                <c:pt idx="47">
                  <c:v>6.1</c:v>
                </c:pt>
                <c:pt idx="48">
                  <c:v>5.7</c:v>
                </c:pt>
                <c:pt idx="49">
                  <c:v>6.3</c:v>
                </c:pt>
                <c:pt idx="50">
                  <c:v>6.2</c:v>
                </c:pt>
                <c:pt idx="51">
                  <c:v>6</c:v>
                </c:pt>
                <c:pt idx="52">
                  <c:v>5.7</c:v>
                </c:pt>
                <c:pt idx="53">
                  <c:v>6.3</c:v>
                </c:pt>
                <c:pt idx="54">
                  <c:v>6.2</c:v>
                </c:pt>
                <c:pt idx="55">
                  <c:v>6</c:v>
                </c:pt>
                <c:pt idx="56">
                  <c:v>5.7</c:v>
                </c:pt>
                <c:pt idx="57">
                  <c:v>6.3</c:v>
                </c:pt>
                <c:pt idx="58">
                  <c:v>6.2</c:v>
                </c:pt>
                <c:pt idx="59">
                  <c:v>6</c:v>
                </c:pt>
                <c:pt idx="60">
                  <c:v>5.9</c:v>
                </c:pt>
                <c:pt idx="61">
                  <c:v>6.3</c:v>
                </c:pt>
                <c:pt idx="62">
                  <c:v>6.2</c:v>
                </c:pt>
                <c:pt idx="63">
                  <c:v>5.9</c:v>
                </c:pt>
                <c:pt idx="64">
                  <c:v>5.7</c:v>
                </c:pt>
                <c:pt idx="65">
                  <c:v>6.3</c:v>
                </c:pt>
                <c:pt idx="66">
                  <c:v>6.2</c:v>
                </c:pt>
                <c:pt idx="67">
                  <c:v>6</c:v>
                </c:pt>
                <c:pt idx="68">
                  <c:v>5.7</c:v>
                </c:pt>
                <c:pt idx="69">
                  <c:v>6.3</c:v>
                </c:pt>
                <c:pt idx="70">
                  <c:v>6.2</c:v>
                </c:pt>
                <c:pt idx="71">
                  <c:v>6</c:v>
                </c:pt>
                <c:pt idx="72">
                  <c:v>5.8</c:v>
                </c:pt>
                <c:pt idx="73">
                  <c:v>6.3</c:v>
                </c:pt>
                <c:pt idx="74">
                  <c:v>6.2</c:v>
                </c:pt>
                <c:pt idx="75">
                  <c:v>6</c:v>
                </c:pt>
                <c:pt idx="76">
                  <c:v>5.7</c:v>
                </c:pt>
                <c:pt idx="77">
                  <c:v>6.3</c:v>
                </c:pt>
                <c:pt idx="78">
                  <c:v>6.2</c:v>
                </c:pt>
                <c:pt idx="79">
                  <c:v>6</c:v>
                </c:pt>
                <c:pt idx="80">
                  <c:v>5.7</c:v>
                </c:pt>
                <c:pt idx="81">
                  <c:v>6.3</c:v>
                </c:pt>
                <c:pt idx="82">
                  <c:v>6.2</c:v>
                </c:pt>
                <c:pt idx="83">
                  <c:v>5.9</c:v>
                </c:pt>
                <c:pt idx="84">
                  <c:v>6</c:v>
                </c:pt>
                <c:pt idx="85">
                  <c:v>6.2</c:v>
                </c:pt>
                <c:pt idx="86">
                  <c:v>6.1</c:v>
                </c:pt>
                <c:pt idx="87">
                  <c:v>5.8</c:v>
                </c:pt>
                <c:pt idx="88">
                  <c:v>6.3</c:v>
                </c:pt>
                <c:pt idx="89">
                  <c:v>6.2</c:v>
                </c:pt>
                <c:pt idx="90">
                  <c:v>6</c:v>
                </c:pt>
                <c:pt idx="91">
                  <c:v>5.7</c:v>
                </c:pt>
                <c:pt idx="92">
                  <c:v>6.3</c:v>
                </c:pt>
                <c:pt idx="93">
                  <c:v>6.2</c:v>
                </c:pt>
                <c:pt idx="94">
                  <c:v>5.9</c:v>
                </c:pt>
                <c:pt idx="95">
                  <c:v>5.8</c:v>
                </c:pt>
                <c:pt idx="96">
                  <c:v>6.2</c:v>
                </c:pt>
                <c:pt idx="97">
                  <c:v>6.1</c:v>
                </c:pt>
                <c:pt idx="98">
                  <c:v>5.9</c:v>
                </c:pt>
                <c:pt idx="99">
                  <c:v>6.2</c:v>
                </c:pt>
                <c:pt idx="100">
                  <c:v>6.1</c:v>
                </c:pt>
                <c:pt idx="101">
                  <c:v>5.8</c:v>
                </c:pt>
                <c:pt idx="102">
                  <c:v>6.3</c:v>
                </c:pt>
                <c:pt idx="103">
                  <c:v>6.2</c:v>
                </c:pt>
                <c:pt idx="104">
                  <c:v>6.1</c:v>
                </c:pt>
                <c:pt idx="105">
                  <c:v>5.7</c:v>
                </c:pt>
                <c:pt idx="106">
                  <c:v>6.3</c:v>
                </c:pt>
                <c:pt idx="107">
                  <c:v>6.2</c:v>
                </c:pt>
                <c:pt idx="108">
                  <c:v>6</c:v>
                </c:pt>
                <c:pt idx="109">
                  <c:v>5.7</c:v>
                </c:pt>
                <c:pt idx="110">
                  <c:v>6.2</c:v>
                </c:pt>
                <c:pt idx="111">
                  <c:v>6.1</c:v>
                </c:pt>
                <c:pt idx="112">
                  <c:v>5.9</c:v>
                </c:pt>
                <c:pt idx="113">
                  <c:v>6.2</c:v>
                </c:pt>
                <c:pt idx="114">
                  <c:v>6.2</c:v>
                </c:pt>
                <c:pt idx="115">
                  <c:v>6.1</c:v>
                </c:pt>
                <c:pt idx="116">
                  <c:v>5.8</c:v>
                </c:pt>
                <c:pt idx="117">
                  <c:v>6.3</c:v>
                </c:pt>
                <c:pt idx="118">
                  <c:v>6.2</c:v>
                </c:pt>
                <c:pt idx="119">
                  <c:v>6</c:v>
                </c:pt>
                <c:pt idx="120">
                  <c:v>5.7</c:v>
                </c:pt>
                <c:pt idx="121">
                  <c:v>6.3</c:v>
                </c:pt>
                <c:pt idx="122">
                  <c:v>6.2</c:v>
                </c:pt>
                <c:pt idx="123">
                  <c:v>5.6</c:v>
                </c:pt>
                <c:pt idx="124">
                  <c:v>6.3</c:v>
                </c:pt>
                <c:pt idx="125">
                  <c:v>6.2</c:v>
                </c:pt>
                <c:pt idx="126">
                  <c:v>6</c:v>
                </c:pt>
                <c:pt idx="127">
                  <c:v>5.7</c:v>
                </c:pt>
                <c:pt idx="128">
                  <c:v>6.3</c:v>
                </c:pt>
                <c:pt idx="129">
                  <c:v>6.2</c:v>
                </c:pt>
                <c:pt idx="130">
                  <c:v>6</c:v>
                </c:pt>
                <c:pt idx="131">
                  <c:v>5.8</c:v>
                </c:pt>
                <c:pt idx="132">
                  <c:v>6.3</c:v>
                </c:pt>
                <c:pt idx="133">
                  <c:v>6.2</c:v>
                </c:pt>
                <c:pt idx="134">
                  <c:v>6.1</c:v>
                </c:pt>
                <c:pt idx="135">
                  <c:v>5.8</c:v>
                </c:pt>
                <c:pt idx="136">
                  <c:v>6.3</c:v>
                </c:pt>
                <c:pt idx="137">
                  <c:v>6.2</c:v>
                </c:pt>
                <c:pt idx="138">
                  <c:v>6.1</c:v>
                </c:pt>
                <c:pt idx="139">
                  <c:v>5.8</c:v>
                </c:pt>
                <c:pt idx="140">
                  <c:v>6.3</c:v>
                </c:pt>
                <c:pt idx="141">
                  <c:v>6.2</c:v>
                </c:pt>
                <c:pt idx="142">
                  <c:v>6</c:v>
                </c:pt>
                <c:pt idx="143">
                  <c:v>5.7</c:v>
                </c:pt>
                <c:pt idx="144">
                  <c:v>6.3</c:v>
                </c:pt>
                <c:pt idx="145">
                  <c:v>6.2</c:v>
                </c:pt>
                <c:pt idx="146">
                  <c:v>6</c:v>
                </c:pt>
                <c:pt idx="147">
                  <c:v>5.8</c:v>
                </c:pt>
                <c:pt idx="148">
                  <c:v>5.4</c:v>
                </c:pt>
                <c:pt idx="149">
                  <c:v>6</c:v>
                </c:pt>
                <c:pt idx="150">
                  <c:v>5.7</c:v>
                </c:pt>
                <c:pt idx="151">
                  <c:v>6.2</c:v>
                </c:pt>
                <c:pt idx="152">
                  <c:v>6.1</c:v>
                </c:pt>
                <c:pt idx="153">
                  <c:v>5.9</c:v>
                </c:pt>
                <c:pt idx="154">
                  <c:v>6.2</c:v>
                </c:pt>
                <c:pt idx="155">
                  <c:v>6.2</c:v>
                </c:pt>
                <c:pt idx="156">
                  <c:v>6.1</c:v>
                </c:pt>
                <c:pt idx="157">
                  <c:v>5.8</c:v>
                </c:pt>
                <c:pt idx="158">
                  <c:v>6.3</c:v>
                </c:pt>
                <c:pt idx="159">
                  <c:v>6.2</c:v>
                </c:pt>
                <c:pt idx="160">
                  <c:v>5.7</c:v>
                </c:pt>
                <c:pt idx="161">
                  <c:v>6.2</c:v>
                </c:pt>
                <c:pt idx="162">
                  <c:v>6.1</c:v>
                </c:pt>
                <c:pt idx="163">
                  <c:v>5.9</c:v>
                </c:pt>
                <c:pt idx="164">
                  <c:v>6.1</c:v>
                </c:pt>
                <c:pt idx="165">
                  <c:v>6.2</c:v>
                </c:pt>
                <c:pt idx="166">
                  <c:v>6.1</c:v>
                </c:pt>
                <c:pt idx="167">
                  <c:v>5.8</c:v>
                </c:pt>
                <c:pt idx="168">
                  <c:v>6.3</c:v>
                </c:pt>
                <c:pt idx="169">
                  <c:v>6.2</c:v>
                </c:pt>
                <c:pt idx="170">
                  <c:v>6</c:v>
                </c:pt>
                <c:pt idx="171">
                  <c:v>5.7</c:v>
                </c:pt>
                <c:pt idx="172">
                  <c:v>6.3</c:v>
                </c:pt>
                <c:pt idx="173">
                  <c:v>6.2</c:v>
                </c:pt>
                <c:pt idx="174">
                  <c:v>5.9</c:v>
                </c:pt>
                <c:pt idx="175">
                  <c:v>6</c:v>
                </c:pt>
                <c:pt idx="176">
                  <c:v>6.2</c:v>
                </c:pt>
                <c:pt idx="177">
                  <c:v>6.1</c:v>
                </c:pt>
                <c:pt idx="178">
                  <c:v>5.8</c:v>
                </c:pt>
                <c:pt idx="179">
                  <c:v>6.3</c:v>
                </c:pt>
                <c:pt idx="180">
                  <c:v>6.2</c:v>
                </c:pt>
                <c:pt idx="181">
                  <c:v>6.1</c:v>
                </c:pt>
                <c:pt idx="182">
                  <c:v>5.8</c:v>
                </c:pt>
                <c:pt idx="183">
                  <c:v>6.3</c:v>
                </c:pt>
                <c:pt idx="184">
                  <c:v>6.2</c:v>
                </c:pt>
                <c:pt idx="185">
                  <c:v>5.7</c:v>
                </c:pt>
                <c:pt idx="186">
                  <c:v>6.3</c:v>
                </c:pt>
                <c:pt idx="187">
                  <c:v>6.2</c:v>
                </c:pt>
                <c:pt idx="188">
                  <c:v>6</c:v>
                </c:pt>
                <c:pt idx="189">
                  <c:v>5.7</c:v>
                </c:pt>
                <c:pt idx="190">
                  <c:v>6.2</c:v>
                </c:pt>
                <c:pt idx="191">
                  <c:v>6.1</c:v>
                </c:pt>
                <c:pt idx="192">
                  <c:v>5.9</c:v>
                </c:pt>
                <c:pt idx="193">
                  <c:v>6.2</c:v>
                </c:pt>
                <c:pt idx="194">
                  <c:v>6.2</c:v>
                </c:pt>
                <c:pt idx="195">
                  <c:v>6.1</c:v>
                </c:pt>
                <c:pt idx="196">
                  <c:v>5.8</c:v>
                </c:pt>
                <c:pt idx="197">
                  <c:v>6.3</c:v>
                </c:pt>
                <c:pt idx="198">
                  <c:v>6.2</c:v>
                </c:pt>
                <c:pt idx="199">
                  <c:v>6.1</c:v>
                </c:pt>
                <c:pt idx="200">
                  <c:v>5.8</c:v>
                </c:pt>
                <c:pt idx="201">
                  <c:v>6.3</c:v>
                </c:pt>
                <c:pt idx="202">
                  <c:v>6.2</c:v>
                </c:pt>
                <c:pt idx="203">
                  <c:v>6.1</c:v>
                </c:pt>
                <c:pt idx="204">
                  <c:v>5.8</c:v>
                </c:pt>
                <c:pt idx="205">
                  <c:v>6.3</c:v>
                </c:pt>
                <c:pt idx="206">
                  <c:v>6.2</c:v>
                </c:pt>
                <c:pt idx="207">
                  <c:v>6.1</c:v>
                </c:pt>
                <c:pt idx="208">
                  <c:v>5.9</c:v>
                </c:pt>
                <c:pt idx="209">
                  <c:v>6.2</c:v>
                </c:pt>
                <c:pt idx="210">
                  <c:v>5.6</c:v>
                </c:pt>
                <c:pt idx="211">
                  <c:v>6</c:v>
                </c:pt>
                <c:pt idx="212">
                  <c:v>5.8</c:v>
                </c:pt>
                <c:pt idx="213">
                  <c:v>6.2</c:v>
                </c:pt>
                <c:pt idx="214">
                  <c:v>6.2</c:v>
                </c:pt>
                <c:pt idx="215">
                  <c:v>6</c:v>
                </c:pt>
                <c:pt idx="216">
                  <c:v>5.7</c:v>
                </c:pt>
                <c:pt idx="217">
                  <c:v>6.2</c:v>
                </c:pt>
                <c:pt idx="218">
                  <c:v>6.2</c:v>
                </c:pt>
                <c:pt idx="219">
                  <c:v>6</c:v>
                </c:pt>
                <c:pt idx="220">
                  <c:v>5.7</c:v>
                </c:pt>
                <c:pt idx="221">
                  <c:v>6.2</c:v>
                </c:pt>
                <c:pt idx="222">
                  <c:v>6.2</c:v>
                </c:pt>
                <c:pt idx="223">
                  <c:v>6</c:v>
                </c:pt>
                <c:pt idx="224">
                  <c:v>5.7</c:v>
                </c:pt>
                <c:pt idx="225">
                  <c:v>6.3</c:v>
                </c:pt>
                <c:pt idx="226">
                  <c:v>6.2</c:v>
                </c:pt>
                <c:pt idx="227">
                  <c:v>6</c:v>
                </c:pt>
                <c:pt idx="228">
                  <c:v>5.8</c:v>
                </c:pt>
                <c:pt idx="229">
                  <c:v>6.3</c:v>
                </c:pt>
                <c:pt idx="230">
                  <c:v>6.2</c:v>
                </c:pt>
                <c:pt idx="231">
                  <c:v>6.1</c:v>
                </c:pt>
                <c:pt idx="232">
                  <c:v>5.8</c:v>
                </c:pt>
                <c:pt idx="233">
                  <c:v>6.3</c:v>
                </c:pt>
                <c:pt idx="234">
                  <c:v>6.2</c:v>
                </c:pt>
                <c:pt idx="235">
                  <c:v>4.4000000000000004</c:v>
                </c:pt>
                <c:pt idx="236">
                  <c:v>6.3</c:v>
                </c:pt>
                <c:pt idx="237">
                  <c:v>6.2</c:v>
                </c:pt>
                <c:pt idx="238">
                  <c:v>6.1</c:v>
                </c:pt>
                <c:pt idx="239">
                  <c:v>5.9</c:v>
                </c:pt>
                <c:pt idx="240">
                  <c:v>6.2</c:v>
                </c:pt>
                <c:pt idx="241">
                  <c:v>6.2</c:v>
                </c:pt>
                <c:pt idx="242">
                  <c:v>6.1</c:v>
                </c:pt>
                <c:pt idx="243">
                  <c:v>5.8</c:v>
                </c:pt>
                <c:pt idx="244">
                  <c:v>6.3</c:v>
                </c:pt>
                <c:pt idx="245">
                  <c:v>6.2</c:v>
                </c:pt>
                <c:pt idx="246">
                  <c:v>6</c:v>
                </c:pt>
                <c:pt idx="247">
                  <c:v>5.7</c:v>
                </c:pt>
                <c:pt idx="248">
                  <c:v>6.2</c:v>
                </c:pt>
                <c:pt idx="249">
                  <c:v>6.2</c:v>
                </c:pt>
                <c:pt idx="250">
                  <c:v>5.9</c:v>
                </c:pt>
                <c:pt idx="251">
                  <c:v>6.1</c:v>
                </c:pt>
                <c:pt idx="252">
                  <c:v>6.2</c:v>
                </c:pt>
                <c:pt idx="253">
                  <c:v>6.1</c:v>
                </c:pt>
                <c:pt idx="254">
                  <c:v>5.8</c:v>
                </c:pt>
                <c:pt idx="255">
                  <c:v>6.3</c:v>
                </c:pt>
                <c:pt idx="256">
                  <c:v>6.2</c:v>
                </c:pt>
                <c:pt idx="257">
                  <c:v>6</c:v>
                </c:pt>
                <c:pt idx="258">
                  <c:v>5.7</c:v>
                </c:pt>
                <c:pt idx="259">
                  <c:v>6.3</c:v>
                </c:pt>
                <c:pt idx="260">
                  <c:v>6.2</c:v>
                </c:pt>
                <c:pt idx="261">
                  <c:v>5.7</c:v>
                </c:pt>
                <c:pt idx="262">
                  <c:v>6.3</c:v>
                </c:pt>
                <c:pt idx="263">
                  <c:v>6.2</c:v>
                </c:pt>
                <c:pt idx="264">
                  <c:v>6</c:v>
                </c:pt>
                <c:pt idx="265">
                  <c:v>5.8</c:v>
                </c:pt>
                <c:pt idx="266">
                  <c:v>6.2</c:v>
                </c:pt>
                <c:pt idx="267">
                  <c:v>6.1</c:v>
                </c:pt>
                <c:pt idx="268">
                  <c:v>5.9</c:v>
                </c:pt>
                <c:pt idx="269">
                  <c:v>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B9-43F8-A0CB-290D9F636084}"/>
            </c:ext>
          </c:extLst>
        </c:ser>
        <c:ser>
          <c:idx val="1"/>
          <c:order val="1"/>
          <c:tx>
            <c:strRef>
              <c:f>'Parámetros proceso'!$F$1:$I$1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proceso'!$A$3:$A$332</c:f>
              <c:numCache>
                <c:formatCode>General</c:formatCode>
                <c:ptCount val="3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</c:numCache>
            </c:numRef>
          </c:xVal>
          <c:yVal>
            <c:numRef>
              <c:f>'Parámetros proceso'!$G$3:$G$332</c:f>
              <c:numCache>
                <c:formatCode>General</c:formatCode>
                <c:ptCount val="330"/>
                <c:pt idx="0">
                  <c:v>5.7</c:v>
                </c:pt>
                <c:pt idx="1">
                  <c:v>6.2</c:v>
                </c:pt>
                <c:pt idx="2">
                  <c:v>6.2</c:v>
                </c:pt>
                <c:pt idx="3">
                  <c:v>6</c:v>
                </c:pt>
                <c:pt idx="4">
                  <c:v>5.7</c:v>
                </c:pt>
                <c:pt idx="5">
                  <c:v>6.2</c:v>
                </c:pt>
                <c:pt idx="6">
                  <c:v>6.2</c:v>
                </c:pt>
                <c:pt idx="7">
                  <c:v>6</c:v>
                </c:pt>
                <c:pt idx="8">
                  <c:v>6.3</c:v>
                </c:pt>
                <c:pt idx="9">
                  <c:v>6.2</c:v>
                </c:pt>
                <c:pt idx="10">
                  <c:v>6.1</c:v>
                </c:pt>
                <c:pt idx="11">
                  <c:v>5.9</c:v>
                </c:pt>
                <c:pt idx="12">
                  <c:v>6.3</c:v>
                </c:pt>
                <c:pt idx="13">
                  <c:v>6.2</c:v>
                </c:pt>
                <c:pt idx="14">
                  <c:v>5.9</c:v>
                </c:pt>
                <c:pt idx="15">
                  <c:v>5.9</c:v>
                </c:pt>
                <c:pt idx="16">
                  <c:v>6.2</c:v>
                </c:pt>
                <c:pt idx="17">
                  <c:v>6</c:v>
                </c:pt>
                <c:pt idx="18">
                  <c:v>5.7</c:v>
                </c:pt>
                <c:pt idx="19">
                  <c:v>6.2</c:v>
                </c:pt>
                <c:pt idx="20">
                  <c:v>6.1</c:v>
                </c:pt>
                <c:pt idx="21">
                  <c:v>5.8</c:v>
                </c:pt>
                <c:pt idx="22">
                  <c:v>6.2</c:v>
                </c:pt>
                <c:pt idx="23">
                  <c:v>6.2</c:v>
                </c:pt>
                <c:pt idx="24">
                  <c:v>5.9</c:v>
                </c:pt>
                <c:pt idx="25">
                  <c:v>5.7</c:v>
                </c:pt>
                <c:pt idx="26">
                  <c:v>6.2</c:v>
                </c:pt>
                <c:pt idx="27">
                  <c:v>6</c:v>
                </c:pt>
                <c:pt idx="28">
                  <c:v>5.7</c:v>
                </c:pt>
                <c:pt idx="29">
                  <c:v>6.3</c:v>
                </c:pt>
                <c:pt idx="30">
                  <c:v>6.1</c:v>
                </c:pt>
                <c:pt idx="31">
                  <c:v>5.8</c:v>
                </c:pt>
                <c:pt idx="32">
                  <c:v>6.2</c:v>
                </c:pt>
                <c:pt idx="33">
                  <c:v>6.2</c:v>
                </c:pt>
                <c:pt idx="34">
                  <c:v>6</c:v>
                </c:pt>
                <c:pt idx="35">
                  <c:v>6.3</c:v>
                </c:pt>
                <c:pt idx="36">
                  <c:v>6.2</c:v>
                </c:pt>
                <c:pt idx="37">
                  <c:v>6</c:v>
                </c:pt>
                <c:pt idx="38">
                  <c:v>5.7</c:v>
                </c:pt>
                <c:pt idx="39">
                  <c:v>6.3</c:v>
                </c:pt>
                <c:pt idx="40">
                  <c:v>6.1</c:v>
                </c:pt>
                <c:pt idx="41">
                  <c:v>5.8</c:v>
                </c:pt>
                <c:pt idx="42">
                  <c:v>6.3</c:v>
                </c:pt>
                <c:pt idx="43">
                  <c:v>6.2</c:v>
                </c:pt>
                <c:pt idx="44">
                  <c:v>6.1</c:v>
                </c:pt>
                <c:pt idx="45">
                  <c:v>5.6</c:v>
                </c:pt>
                <c:pt idx="46">
                  <c:v>6.3</c:v>
                </c:pt>
                <c:pt idx="47">
                  <c:v>6.2</c:v>
                </c:pt>
                <c:pt idx="48">
                  <c:v>5.8</c:v>
                </c:pt>
                <c:pt idx="49">
                  <c:v>6.2</c:v>
                </c:pt>
                <c:pt idx="50">
                  <c:v>6.2</c:v>
                </c:pt>
                <c:pt idx="51">
                  <c:v>6.1</c:v>
                </c:pt>
                <c:pt idx="52">
                  <c:v>5.8</c:v>
                </c:pt>
                <c:pt idx="53">
                  <c:v>6.2</c:v>
                </c:pt>
                <c:pt idx="54">
                  <c:v>6.2</c:v>
                </c:pt>
                <c:pt idx="55">
                  <c:v>6.1</c:v>
                </c:pt>
                <c:pt idx="56">
                  <c:v>5.8</c:v>
                </c:pt>
                <c:pt idx="57">
                  <c:v>6.2</c:v>
                </c:pt>
                <c:pt idx="58">
                  <c:v>6.2</c:v>
                </c:pt>
                <c:pt idx="59">
                  <c:v>6.1</c:v>
                </c:pt>
                <c:pt idx="60">
                  <c:v>5.9</c:v>
                </c:pt>
                <c:pt idx="61">
                  <c:v>5.9</c:v>
                </c:pt>
                <c:pt idx="62">
                  <c:v>6</c:v>
                </c:pt>
                <c:pt idx="63">
                  <c:v>6.2</c:v>
                </c:pt>
                <c:pt idx="64">
                  <c:v>6.1</c:v>
                </c:pt>
                <c:pt idx="65">
                  <c:v>5.8</c:v>
                </c:pt>
                <c:pt idx="66">
                  <c:v>6.3</c:v>
                </c:pt>
                <c:pt idx="67">
                  <c:v>6.2</c:v>
                </c:pt>
                <c:pt idx="68">
                  <c:v>6.1</c:v>
                </c:pt>
                <c:pt idx="69">
                  <c:v>5.7</c:v>
                </c:pt>
                <c:pt idx="70">
                  <c:v>6.3</c:v>
                </c:pt>
                <c:pt idx="71">
                  <c:v>6.2</c:v>
                </c:pt>
                <c:pt idx="72">
                  <c:v>6</c:v>
                </c:pt>
                <c:pt idx="73">
                  <c:v>5.7</c:v>
                </c:pt>
                <c:pt idx="74">
                  <c:v>6.2</c:v>
                </c:pt>
                <c:pt idx="75">
                  <c:v>6.1</c:v>
                </c:pt>
                <c:pt idx="76">
                  <c:v>5.9</c:v>
                </c:pt>
                <c:pt idx="77">
                  <c:v>6.1</c:v>
                </c:pt>
                <c:pt idx="78">
                  <c:v>6.2</c:v>
                </c:pt>
                <c:pt idx="79">
                  <c:v>6.1</c:v>
                </c:pt>
                <c:pt idx="80">
                  <c:v>5.8</c:v>
                </c:pt>
                <c:pt idx="81">
                  <c:v>6.3</c:v>
                </c:pt>
                <c:pt idx="82">
                  <c:v>6.2</c:v>
                </c:pt>
                <c:pt idx="83">
                  <c:v>6</c:v>
                </c:pt>
                <c:pt idx="84">
                  <c:v>6.3</c:v>
                </c:pt>
                <c:pt idx="85">
                  <c:v>6.2</c:v>
                </c:pt>
                <c:pt idx="86">
                  <c:v>6.1</c:v>
                </c:pt>
                <c:pt idx="87">
                  <c:v>5.7</c:v>
                </c:pt>
                <c:pt idx="88">
                  <c:v>6.3</c:v>
                </c:pt>
                <c:pt idx="89">
                  <c:v>6.2</c:v>
                </c:pt>
                <c:pt idx="90">
                  <c:v>6</c:v>
                </c:pt>
                <c:pt idx="91">
                  <c:v>5.7</c:v>
                </c:pt>
                <c:pt idx="92">
                  <c:v>6.2</c:v>
                </c:pt>
                <c:pt idx="93">
                  <c:v>6.1</c:v>
                </c:pt>
                <c:pt idx="94">
                  <c:v>5.9</c:v>
                </c:pt>
                <c:pt idx="95">
                  <c:v>6.1</c:v>
                </c:pt>
                <c:pt idx="96">
                  <c:v>6.2</c:v>
                </c:pt>
                <c:pt idx="97">
                  <c:v>6.1</c:v>
                </c:pt>
                <c:pt idx="98">
                  <c:v>5.8</c:v>
                </c:pt>
                <c:pt idx="99">
                  <c:v>6.3</c:v>
                </c:pt>
                <c:pt idx="100">
                  <c:v>6.2</c:v>
                </c:pt>
                <c:pt idx="101">
                  <c:v>6</c:v>
                </c:pt>
                <c:pt idx="102">
                  <c:v>5.7</c:v>
                </c:pt>
                <c:pt idx="103">
                  <c:v>6.3</c:v>
                </c:pt>
                <c:pt idx="104">
                  <c:v>6.2</c:v>
                </c:pt>
                <c:pt idx="105">
                  <c:v>5.9</c:v>
                </c:pt>
                <c:pt idx="106">
                  <c:v>5.9</c:v>
                </c:pt>
                <c:pt idx="107">
                  <c:v>6.2</c:v>
                </c:pt>
                <c:pt idx="108">
                  <c:v>6.1</c:v>
                </c:pt>
                <c:pt idx="109">
                  <c:v>5.8</c:v>
                </c:pt>
                <c:pt idx="110">
                  <c:v>6.2</c:v>
                </c:pt>
                <c:pt idx="111">
                  <c:v>6.1</c:v>
                </c:pt>
                <c:pt idx="112">
                  <c:v>5.9</c:v>
                </c:pt>
                <c:pt idx="113">
                  <c:v>6.2</c:v>
                </c:pt>
                <c:pt idx="114">
                  <c:v>6.2</c:v>
                </c:pt>
                <c:pt idx="115">
                  <c:v>6.1</c:v>
                </c:pt>
                <c:pt idx="116">
                  <c:v>5.8</c:v>
                </c:pt>
                <c:pt idx="117">
                  <c:v>6.3</c:v>
                </c:pt>
                <c:pt idx="118">
                  <c:v>6.2</c:v>
                </c:pt>
                <c:pt idx="119">
                  <c:v>6</c:v>
                </c:pt>
                <c:pt idx="120">
                  <c:v>5.7</c:v>
                </c:pt>
                <c:pt idx="121">
                  <c:v>6.3</c:v>
                </c:pt>
                <c:pt idx="122">
                  <c:v>6.2</c:v>
                </c:pt>
                <c:pt idx="123">
                  <c:v>5.9</c:v>
                </c:pt>
                <c:pt idx="124">
                  <c:v>5.6</c:v>
                </c:pt>
                <c:pt idx="125">
                  <c:v>6.2</c:v>
                </c:pt>
                <c:pt idx="126">
                  <c:v>6.1</c:v>
                </c:pt>
                <c:pt idx="127">
                  <c:v>6.2</c:v>
                </c:pt>
                <c:pt idx="128">
                  <c:v>6.2</c:v>
                </c:pt>
                <c:pt idx="129">
                  <c:v>6.1</c:v>
                </c:pt>
                <c:pt idx="130">
                  <c:v>5.8</c:v>
                </c:pt>
                <c:pt idx="131">
                  <c:v>6.3</c:v>
                </c:pt>
                <c:pt idx="132">
                  <c:v>6.2</c:v>
                </c:pt>
                <c:pt idx="133">
                  <c:v>6</c:v>
                </c:pt>
                <c:pt idx="134">
                  <c:v>5.7</c:v>
                </c:pt>
                <c:pt idx="135">
                  <c:v>6.3</c:v>
                </c:pt>
                <c:pt idx="136">
                  <c:v>6.2</c:v>
                </c:pt>
                <c:pt idx="137">
                  <c:v>6</c:v>
                </c:pt>
                <c:pt idx="138">
                  <c:v>5.8</c:v>
                </c:pt>
                <c:pt idx="139">
                  <c:v>6.2</c:v>
                </c:pt>
                <c:pt idx="140">
                  <c:v>6.1</c:v>
                </c:pt>
                <c:pt idx="141">
                  <c:v>5.9</c:v>
                </c:pt>
                <c:pt idx="142">
                  <c:v>6.2</c:v>
                </c:pt>
                <c:pt idx="143">
                  <c:v>6.2</c:v>
                </c:pt>
                <c:pt idx="144">
                  <c:v>6.1</c:v>
                </c:pt>
                <c:pt idx="145">
                  <c:v>5.7</c:v>
                </c:pt>
                <c:pt idx="146">
                  <c:v>6.3</c:v>
                </c:pt>
                <c:pt idx="147">
                  <c:v>6.2</c:v>
                </c:pt>
                <c:pt idx="148">
                  <c:v>6</c:v>
                </c:pt>
                <c:pt idx="149">
                  <c:v>5.7</c:v>
                </c:pt>
                <c:pt idx="150">
                  <c:v>6.2</c:v>
                </c:pt>
                <c:pt idx="151">
                  <c:v>6.1</c:v>
                </c:pt>
                <c:pt idx="152">
                  <c:v>5.9</c:v>
                </c:pt>
                <c:pt idx="153">
                  <c:v>5.4</c:v>
                </c:pt>
                <c:pt idx="154">
                  <c:v>6.2</c:v>
                </c:pt>
                <c:pt idx="155">
                  <c:v>6.1</c:v>
                </c:pt>
                <c:pt idx="156">
                  <c:v>5.8</c:v>
                </c:pt>
                <c:pt idx="157">
                  <c:v>6.3</c:v>
                </c:pt>
                <c:pt idx="158">
                  <c:v>6.2</c:v>
                </c:pt>
                <c:pt idx="159">
                  <c:v>6.1</c:v>
                </c:pt>
                <c:pt idx="160">
                  <c:v>5.8</c:v>
                </c:pt>
                <c:pt idx="161">
                  <c:v>6.3</c:v>
                </c:pt>
                <c:pt idx="162">
                  <c:v>6.2</c:v>
                </c:pt>
                <c:pt idx="163">
                  <c:v>6</c:v>
                </c:pt>
                <c:pt idx="164">
                  <c:v>5.7</c:v>
                </c:pt>
                <c:pt idx="165">
                  <c:v>6.2</c:v>
                </c:pt>
                <c:pt idx="166">
                  <c:v>6.1</c:v>
                </c:pt>
                <c:pt idx="167">
                  <c:v>5.9</c:v>
                </c:pt>
                <c:pt idx="168">
                  <c:v>6.2</c:v>
                </c:pt>
                <c:pt idx="169">
                  <c:v>6.2</c:v>
                </c:pt>
                <c:pt idx="170">
                  <c:v>6.1</c:v>
                </c:pt>
                <c:pt idx="171">
                  <c:v>5.8</c:v>
                </c:pt>
                <c:pt idx="172">
                  <c:v>6.3</c:v>
                </c:pt>
                <c:pt idx="173">
                  <c:v>6.2</c:v>
                </c:pt>
                <c:pt idx="174">
                  <c:v>6</c:v>
                </c:pt>
                <c:pt idx="175">
                  <c:v>5.7</c:v>
                </c:pt>
                <c:pt idx="176">
                  <c:v>6.2</c:v>
                </c:pt>
                <c:pt idx="177">
                  <c:v>6.2</c:v>
                </c:pt>
                <c:pt idx="178">
                  <c:v>6</c:v>
                </c:pt>
                <c:pt idx="179">
                  <c:v>6.3</c:v>
                </c:pt>
                <c:pt idx="180">
                  <c:v>6.2</c:v>
                </c:pt>
                <c:pt idx="181">
                  <c:v>6.1</c:v>
                </c:pt>
                <c:pt idx="182">
                  <c:v>5.8</c:v>
                </c:pt>
                <c:pt idx="183">
                  <c:v>6.3</c:v>
                </c:pt>
                <c:pt idx="184">
                  <c:v>6.1</c:v>
                </c:pt>
                <c:pt idx="185">
                  <c:v>6</c:v>
                </c:pt>
                <c:pt idx="186">
                  <c:v>5.7</c:v>
                </c:pt>
                <c:pt idx="187">
                  <c:v>6.3</c:v>
                </c:pt>
                <c:pt idx="188">
                  <c:v>6.2</c:v>
                </c:pt>
                <c:pt idx="189">
                  <c:v>6</c:v>
                </c:pt>
                <c:pt idx="190">
                  <c:v>5.8</c:v>
                </c:pt>
                <c:pt idx="191">
                  <c:v>6.3</c:v>
                </c:pt>
                <c:pt idx="192">
                  <c:v>6.2</c:v>
                </c:pt>
                <c:pt idx="193">
                  <c:v>6</c:v>
                </c:pt>
                <c:pt idx="194">
                  <c:v>5.8</c:v>
                </c:pt>
                <c:pt idx="195">
                  <c:v>6.3</c:v>
                </c:pt>
                <c:pt idx="196">
                  <c:v>6.2</c:v>
                </c:pt>
                <c:pt idx="197">
                  <c:v>6.1</c:v>
                </c:pt>
                <c:pt idx="198">
                  <c:v>5.8</c:v>
                </c:pt>
                <c:pt idx="199">
                  <c:v>6.3</c:v>
                </c:pt>
                <c:pt idx="200">
                  <c:v>6.2</c:v>
                </c:pt>
                <c:pt idx="201">
                  <c:v>6.1</c:v>
                </c:pt>
                <c:pt idx="202">
                  <c:v>5.8</c:v>
                </c:pt>
                <c:pt idx="203">
                  <c:v>6.3</c:v>
                </c:pt>
                <c:pt idx="204">
                  <c:v>6.1</c:v>
                </c:pt>
                <c:pt idx="205">
                  <c:v>6</c:v>
                </c:pt>
                <c:pt idx="206">
                  <c:v>5.8</c:v>
                </c:pt>
                <c:pt idx="207">
                  <c:v>6.2</c:v>
                </c:pt>
                <c:pt idx="208">
                  <c:v>6.2</c:v>
                </c:pt>
                <c:pt idx="209">
                  <c:v>6</c:v>
                </c:pt>
                <c:pt idx="210">
                  <c:v>5.7</c:v>
                </c:pt>
                <c:pt idx="211">
                  <c:v>6.2</c:v>
                </c:pt>
                <c:pt idx="212">
                  <c:v>6.2</c:v>
                </c:pt>
                <c:pt idx="213">
                  <c:v>6</c:v>
                </c:pt>
                <c:pt idx="214">
                  <c:v>5.8</c:v>
                </c:pt>
                <c:pt idx="215">
                  <c:v>6.3</c:v>
                </c:pt>
                <c:pt idx="216">
                  <c:v>6.2</c:v>
                </c:pt>
                <c:pt idx="217">
                  <c:v>6</c:v>
                </c:pt>
                <c:pt idx="218">
                  <c:v>5.8</c:v>
                </c:pt>
                <c:pt idx="219">
                  <c:v>6.3</c:v>
                </c:pt>
                <c:pt idx="220">
                  <c:v>6.2</c:v>
                </c:pt>
                <c:pt idx="221">
                  <c:v>6.1</c:v>
                </c:pt>
                <c:pt idx="222">
                  <c:v>5.8</c:v>
                </c:pt>
                <c:pt idx="223">
                  <c:v>6.3</c:v>
                </c:pt>
                <c:pt idx="224">
                  <c:v>6.2</c:v>
                </c:pt>
                <c:pt idx="225">
                  <c:v>6.1</c:v>
                </c:pt>
                <c:pt idx="226">
                  <c:v>5.9</c:v>
                </c:pt>
                <c:pt idx="227">
                  <c:v>6.2</c:v>
                </c:pt>
                <c:pt idx="228">
                  <c:v>6.2</c:v>
                </c:pt>
                <c:pt idx="229">
                  <c:v>5.9</c:v>
                </c:pt>
                <c:pt idx="230">
                  <c:v>5.9</c:v>
                </c:pt>
                <c:pt idx="231">
                  <c:v>6.2</c:v>
                </c:pt>
                <c:pt idx="232">
                  <c:v>6.2</c:v>
                </c:pt>
                <c:pt idx="233">
                  <c:v>6</c:v>
                </c:pt>
                <c:pt idx="234">
                  <c:v>5.7</c:v>
                </c:pt>
                <c:pt idx="235">
                  <c:v>6.2</c:v>
                </c:pt>
                <c:pt idx="236">
                  <c:v>6.2</c:v>
                </c:pt>
                <c:pt idx="237">
                  <c:v>6</c:v>
                </c:pt>
                <c:pt idx="238">
                  <c:v>5.7</c:v>
                </c:pt>
                <c:pt idx="239">
                  <c:v>6.3</c:v>
                </c:pt>
                <c:pt idx="240">
                  <c:v>6.2</c:v>
                </c:pt>
                <c:pt idx="241">
                  <c:v>6</c:v>
                </c:pt>
                <c:pt idx="242">
                  <c:v>5.7</c:v>
                </c:pt>
                <c:pt idx="243">
                  <c:v>6.3</c:v>
                </c:pt>
                <c:pt idx="244">
                  <c:v>6.2</c:v>
                </c:pt>
                <c:pt idx="245">
                  <c:v>6</c:v>
                </c:pt>
                <c:pt idx="246">
                  <c:v>5.7</c:v>
                </c:pt>
                <c:pt idx="247">
                  <c:v>6.2</c:v>
                </c:pt>
                <c:pt idx="248">
                  <c:v>6.1</c:v>
                </c:pt>
                <c:pt idx="249">
                  <c:v>5.9</c:v>
                </c:pt>
                <c:pt idx="250">
                  <c:v>6.2</c:v>
                </c:pt>
                <c:pt idx="251">
                  <c:v>6.2</c:v>
                </c:pt>
                <c:pt idx="252">
                  <c:v>6.1</c:v>
                </c:pt>
                <c:pt idx="253">
                  <c:v>5.8</c:v>
                </c:pt>
                <c:pt idx="254">
                  <c:v>6.3</c:v>
                </c:pt>
                <c:pt idx="255">
                  <c:v>6.1</c:v>
                </c:pt>
                <c:pt idx="256">
                  <c:v>5.8</c:v>
                </c:pt>
                <c:pt idx="257">
                  <c:v>6.3</c:v>
                </c:pt>
                <c:pt idx="258">
                  <c:v>6.2</c:v>
                </c:pt>
                <c:pt idx="259">
                  <c:v>6.1</c:v>
                </c:pt>
                <c:pt idx="260">
                  <c:v>5.9</c:v>
                </c:pt>
                <c:pt idx="261">
                  <c:v>6.2</c:v>
                </c:pt>
                <c:pt idx="262">
                  <c:v>6.2</c:v>
                </c:pt>
                <c:pt idx="263">
                  <c:v>6.1</c:v>
                </c:pt>
                <c:pt idx="264">
                  <c:v>5.9</c:v>
                </c:pt>
                <c:pt idx="265">
                  <c:v>6</c:v>
                </c:pt>
                <c:pt idx="266">
                  <c:v>6.2</c:v>
                </c:pt>
                <c:pt idx="267">
                  <c:v>6.1</c:v>
                </c:pt>
                <c:pt idx="268">
                  <c:v>6</c:v>
                </c:pt>
                <c:pt idx="269">
                  <c:v>5.7</c:v>
                </c:pt>
                <c:pt idx="270">
                  <c:v>6.2</c:v>
                </c:pt>
                <c:pt idx="271">
                  <c:v>6.2</c:v>
                </c:pt>
                <c:pt idx="272">
                  <c:v>6</c:v>
                </c:pt>
                <c:pt idx="273">
                  <c:v>5.7</c:v>
                </c:pt>
                <c:pt idx="274">
                  <c:v>6.2</c:v>
                </c:pt>
                <c:pt idx="275">
                  <c:v>6.2</c:v>
                </c:pt>
                <c:pt idx="276">
                  <c:v>6</c:v>
                </c:pt>
                <c:pt idx="277">
                  <c:v>5.7</c:v>
                </c:pt>
                <c:pt idx="278">
                  <c:v>6.2</c:v>
                </c:pt>
                <c:pt idx="279">
                  <c:v>6.2</c:v>
                </c:pt>
                <c:pt idx="280">
                  <c:v>5.7</c:v>
                </c:pt>
                <c:pt idx="281">
                  <c:v>6.3</c:v>
                </c:pt>
                <c:pt idx="282">
                  <c:v>6.2</c:v>
                </c:pt>
                <c:pt idx="283">
                  <c:v>6</c:v>
                </c:pt>
                <c:pt idx="284">
                  <c:v>5.7</c:v>
                </c:pt>
                <c:pt idx="285">
                  <c:v>6.2</c:v>
                </c:pt>
                <c:pt idx="286">
                  <c:v>6.1</c:v>
                </c:pt>
                <c:pt idx="287">
                  <c:v>5.9</c:v>
                </c:pt>
                <c:pt idx="288">
                  <c:v>6.2</c:v>
                </c:pt>
                <c:pt idx="289">
                  <c:v>6.2</c:v>
                </c:pt>
                <c:pt idx="290">
                  <c:v>6.1</c:v>
                </c:pt>
                <c:pt idx="291">
                  <c:v>5.8</c:v>
                </c:pt>
                <c:pt idx="292">
                  <c:v>6.3</c:v>
                </c:pt>
                <c:pt idx="293">
                  <c:v>6.2</c:v>
                </c:pt>
                <c:pt idx="294">
                  <c:v>6</c:v>
                </c:pt>
                <c:pt idx="295">
                  <c:v>5.7</c:v>
                </c:pt>
                <c:pt idx="296">
                  <c:v>6.3</c:v>
                </c:pt>
                <c:pt idx="297">
                  <c:v>6.2</c:v>
                </c:pt>
                <c:pt idx="298">
                  <c:v>6</c:v>
                </c:pt>
                <c:pt idx="299">
                  <c:v>5.7</c:v>
                </c:pt>
                <c:pt idx="300">
                  <c:v>6.2</c:v>
                </c:pt>
                <c:pt idx="301">
                  <c:v>6.1</c:v>
                </c:pt>
                <c:pt idx="302">
                  <c:v>6</c:v>
                </c:pt>
                <c:pt idx="303">
                  <c:v>6.1</c:v>
                </c:pt>
                <c:pt idx="304">
                  <c:v>5.8</c:v>
                </c:pt>
                <c:pt idx="305">
                  <c:v>6.2</c:v>
                </c:pt>
                <c:pt idx="306">
                  <c:v>6.2</c:v>
                </c:pt>
                <c:pt idx="307">
                  <c:v>6.1</c:v>
                </c:pt>
                <c:pt idx="308">
                  <c:v>5.8</c:v>
                </c:pt>
                <c:pt idx="309">
                  <c:v>6.2</c:v>
                </c:pt>
                <c:pt idx="310">
                  <c:v>6.2</c:v>
                </c:pt>
                <c:pt idx="311">
                  <c:v>6.1</c:v>
                </c:pt>
                <c:pt idx="312">
                  <c:v>5.8</c:v>
                </c:pt>
                <c:pt idx="313">
                  <c:v>6.2</c:v>
                </c:pt>
                <c:pt idx="314">
                  <c:v>6.2</c:v>
                </c:pt>
                <c:pt idx="315">
                  <c:v>6.1</c:v>
                </c:pt>
                <c:pt idx="316">
                  <c:v>5.9</c:v>
                </c:pt>
                <c:pt idx="317">
                  <c:v>6.2</c:v>
                </c:pt>
                <c:pt idx="318">
                  <c:v>6.2</c:v>
                </c:pt>
                <c:pt idx="319">
                  <c:v>6.1</c:v>
                </c:pt>
                <c:pt idx="320">
                  <c:v>5.9</c:v>
                </c:pt>
                <c:pt idx="321">
                  <c:v>6.1</c:v>
                </c:pt>
                <c:pt idx="322">
                  <c:v>6.2</c:v>
                </c:pt>
                <c:pt idx="323">
                  <c:v>6.1</c:v>
                </c:pt>
                <c:pt idx="324">
                  <c:v>5.9</c:v>
                </c:pt>
                <c:pt idx="325">
                  <c:v>6</c:v>
                </c:pt>
                <c:pt idx="326">
                  <c:v>6.2</c:v>
                </c:pt>
                <c:pt idx="327">
                  <c:v>4.7</c:v>
                </c:pt>
                <c:pt idx="328">
                  <c:v>5.7</c:v>
                </c:pt>
                <c:pt idx="329">
                  <c:v>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B9-43F8-A0CB-290D9F636084}"/>
            </c:ext>
          </c:extLst>
        </c:ser>
        <c:ser>
          <c:idx val="2"/>
          <c:order val="2"/>
          <c:tx>
            <c:strRef>
              <c:f>'Parámetros proceso'!$J$1:$M$1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proceso'!$A$3:$A$233</c:f>
              <c:numCache>
                <c:formatCode>General</c:formatCode>
                <c:ptCount val="2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</c:numCache>
            </c:numRef>
          </c:xVal>
          <c:yVal>
            <c:numRef>
              <c:f>'Parámetros proceso'!$K$3:$K$233</c:f>
              <c:numCache>
                <c:formatCode>General</c:formatCode>
                <c:ptCount val="231"/>
                <c:pt idx="0">
                  <c:v>6.3</c:v>
                </c:pt>
                <c:pt idx="1">
                  <c:v>6.2</c:v>
                </c:pt>
                <c:pt idx="2">
                  <c:v>6.2</c:v>
                </c:pt>
                <c:pt idx="3">
                  <c:v>6</c:v>
                </c:pt>
                <c:pt idx="4">
                  <c:v>5.9</c:v>
                </c:pt>
                <c:pt idx="5">
                  <c:v>6.3</c:v>
                </c:pt>
                <c:pt idx="6">
                  <c:v>6.3</c:v>
                </c:pt>
                <c:pt idx="7">
                  <c:v>6</c:v>
                </c:pt>
                <c:pt idx="8">
                  <c:v>5.8</c:v>
                </c:pt>
                <c:pt idx="9">
                  <c:v>6.3</c:v>
                </c:pt>
                <c:pt idx="10">
                  <c:v>6.2</c:v>
                </c:pt>
                <c:pt idx="11">
                  <c:v>6</c:v>
                </c:pt>
                <c:pt idx="12">
                  <c:v>5.8</c:v>
                </c:pt>
                <c:pt idx="13">
                  <c:v>6.3</c:v>
                </c:pt>
                <c:pt idx="14">
                  <c:v>6.2</c:v>
                </c:pt>
                <c:pt idx="15">
                  <c:v>6.1</c:v>
                </c:pt>
                <c:pt idx="16">
                  <c:v>5.8</c:v>
                </c:pt>
                <c:pt idx="17">
                  <c:v>6.3</c:v>
                </c:pt>
                <c:pt idx="18">
                  <c:v>6.1</c:v>
                </c:pt>
                <c:pt idx="19">
                  <c:v>6.1</c:v>
                </c:pt>
                <c:pt idx="20">
                  <c:v>5.8</c:v>
                </c:pt>
                <c:pt idx="21">
                  <c:v>6.3</c:v>
                </c:pt>
                <c:pt idx="22">
                  <c:v>6.2</c:v>
                </c:pt>
                <c:pt idx="23">
                  <c:v>6.1</c:v>
                </c:pt>
                <c:pt idx="24">
                  <c:v>5.7</c:v>
                </c:pt>
                <c:pt idx="25">
                  <c:v>6.3</c:v>
                </c:pt>
                <c:pt idx="26">
                  <c:v>6.2</c:v>
                </c:pt>
                <c:pt idx="27">
                  <c:v>6</c:v>
                </c:pt>
                <c:pt idx="28">
                  <c:v>5.8</c:v>
                </c:pt>
                <c:pt idx="29">
                  <c:v>6.3</c:v>
                </c:pt>
                <c:pt idx="30">
                  <c:v>6.2</c:v>
                </c:pt>
                <c:pt idx="31">
                  <c:v>6</c:v>
                </c:pt>
                <c:pt idx="32">
                  <c:v>5.2</c:v>
                </c:pt>
                <c:pt idx="33">
                  <c:v>6.3</c:v>
                </c:pt>
                <c:pt idx="34">
                  <c:v>6.2</c:v>
                </c:pt>
                <c:pt idx="35">
                  <c:v>6</c:v>
                </c:pt>
                <c:pt idx="36">
                  <c:v>5.7</c:v>
                </c:pt>
                <c:pt idx="37">
                  <c:v>6.2</c:v>
                </c:pt>
                <c:pt idx="38">
                  <c:v>6.2</c:v>
                </c:pt>
                <c:pt idx="39">
                  <c:v>6</c:v>
                </c:pt>
                <c:pt idx="40">
                  <c:v>5.7</c:v>
                </c:pt>
                <c:pt idx="41">
                  <c:v>6.3</c:v>
                </c:pt>
                <c:pt idx="42">
                  <c:v>6.2</c:v>
                </c:pt>
                <c:pt idx="43">
                  <c:v>6</c:v>
                </c:pt>
                <c:pt idx="44">
                  <c:v>5.7</c:v>
                </c:pt>
                <c:pt idx="45">
                  <c:v>6.3</c:v>
                </c:pt>
                <c:pt idx="46">
                  <c:v>6.2</c:v>
                </c:pt>
                <c:pt idx="47">
                  <c:v>6</c:v>
                </c:pt>
                <c:pt idx="48">
                  <c:v>5.6</c:v>
                </c:pt>
                <c:pt idx="49">
                  <c:v>6.3</c:v>
                </c:pt>
                <c:pt idx="50">
                  <c:v>6.2</c:v>
                </c:pt>
                <c:pt idx="51">
                  <c:v>6</c:v>
                </c:pt>
                <c:pt idx="52">
                  <c:v>5.7</c:v>
                </c:pt>
                <c:pt idx="53">
                  <c:v>6.3</c:v>
                </c:pt>
                <c:pt idx="54">
                  <c:v>6.2</c:v>
                </c:pt>
                <c:pt idx="55">
                  <c:v>6</c:v>
                </c:pt>
                <c:pt idx="56">
                  <c:v>5.7</c:v>
                </c:pt>
                <c:pt idx="57">
                  <c:v>6.3</c:v>
                </c:pt>
                <c:pt idx="58">
                  <c:v>6.1</c:v>
                </c:pt>
                <c:pt idx="59">
                  <c:v>5.8</c:v>
                </c:pt>
                <c:pt idx="60">
                  <c:v>6.3</c:v>
                </c:pt>
                <c:pt idx="61">
                  <c:v>6.2</c:v>
                </c:pt>
                <c:pt idx="62">
                  <c:v>6.1</c:v>
                </c:pt>
                <c:pt idx="63">
                  <c:v>5.8</c:v>
                </c:pt>
                <c:pt idx="64">
                  <c:v>6.3</c:v>
                </c:pt>
                <c:pt idx="65">
                  <c:v>6.2</c:v>
                </c:pt>
                <c:pt idx="66">
                  <c:v>6.1</c:v>
                </c:pt>
                <c:pt idx="67">
                  <c:v>5.7</c:v>
                </c:pt>
                <c:pt idx="68">
                  <c:v>6.3</c:v>
                </c:pt>
                <c:pt idx="69">
                  <c:v>6.2</c:v>
                </c:pt>
                <c:pt idx="70">
                  <c:v>6</c:v>
                </c:pt>
                <c:pt idx="71">
                  <c:v>5.7</c:v>
                </c:pt>
                <c:pt idx="72">
                  <c:v>6.3</c:v>
                </c:pt>
                <c:pt idx="73">
                  <c:v>6.2</c:v>
                </c:pt>
                <c:pt idx="74">
                  <c:v>6</c:v>
                </c:pt>
                <c:pt idx="75">
                  <c:v>5.8</c:v>
                </c:pt>
                <c:pt idx="76">
                  <c:v>6.3</c:v>
                </c:pt>
                <c:pt idx="77">
                  <c:v>6.2</c:v>
                </c:pt>
                <c:pt idx="78">
                  <c:v>6</c:v>
                </c:pt>
                <c:pt idx="79">
                  <c:v>5.8</c:v>
                </c:pt>
                <c:pt idx="80">
                  <c:v>6.3</c:v>
                </c:pt>
                <c:pt idx="81">
                  <c:v>6.2</c:v>
                </c:pt>
                <c:pt idx="82">
                  <c:v>6</c:v>
                </c:pt>
                <c:pt idx="83">
                  <c:v>5.8</c:v>
                </c:pt>
                <c:pt idx="84">
                  <c:v>6.3</c:v>
                </c:pt>
                <c:pt idx="85">
                  <c:v>6.2</c:v>
                </c:pt>
                <c:pt idx="86">
                  <c:v>5.9</c:v>
                </c:pt>
                <c:pt idx="87">
                  <c:v>5.9</c:v>
                </c:pt>
                <c:pt idx="88">
                  <c:v>6.3</c:v>
                </c:pt>
                <c:pt idx="89">
                  <c:v>6.1</c:v>
                </c:pt>
                <c:pt idx="90">
                  <c:v>5.9</c:v>
                </c:pt>
                <c:pt idx="91">
                  <c:v>6.2</c:v>
                </c:pt>
                <c:pt idx="92">
                  <c:v>6.2</c:v>
                </c:pt>
                <c:pt idx="93">
                  <c:v>6.1</c:v>
                </c:pt>
                <c:pt idx="94">
                  <c:v>5.9</c:v>
                </c:pt>
                <c:pt idx="95">
                  <c:v>6.2</c:v>
                </c:pt>
                <c:pt idx="96">
                  <c:v>6.2</c:v>
                </c:pt>
                <c:pt idx="97">
                  <c:v>6.1</c:v>
                </c:pt>
                <c:pt idx="98">
                  <c:v>5.9</c:v>
                </c:pt>
                <c:pt idx="99">
                  <c:v>6.2</c:v>
                </c:pt>
                <c:pt idx="100">
                  <c:v>6.2</c:v>
                </c:pt>
                <c:pt idx="101">
                  <c:v>6.1</c:v>
                </c:pt>
                <c:pt idx="102">
                  <c:v>5.9</c:v>
                </c:pt>
                <c:pt idx="103">
                  <c:v>6.1</c:v>
                </c:pt>
                <c:pt idx="104">
                  <c:v>6.2</c:v>
                </c:pt>
                <c:pt idx="105">
                  <c:v>6.1</c:v>
                </c:pt>
                <c:pt idx="106">
                  <c:v>5.4</c:v>
                </c:pt>
                <c:pt idx="107">
                  <c:v>6.3</c:v>
                </c:pt>
                <c:pt idx="108">
                  <c:v>6.2</c:v>
                </c:pt>
                <c:pt idx="109">
                  <c:v>5.7</c:v>
                </c:pt>
                <c:pt idx="110">
                  <c:v>6.3</c:v>
                </c:pt>
                <c:pt idx="111">
                  <c:v>6.2</c:v>
                </c:pt>
                <c:pt idx="112">
                  <c:v>6</c:v>
                </c:pt>
                <c:pt idx="113">
                  <c:v>5.7</c:v>
                </c:pt>
                <c:pt idx="114">
                  <c:v>6.3</c:v>
                </c:pt>
                <c:pt idx="115">
                  <c:v>6.2</c:v>
                </c:pt>
                <c:pt idx="116">
                  <c:v>6</c:v>
                </c:pt>
                <c:pt idx="117">
                  <c:v>5.7</c:v>
                </c:pt>
                <c:pt idx="118">
                  <c:v>6.3</c:v>
                </c:pt>
                <c:pt idx="119">
                  <c:v>6.2</c:v>
                </c:pt>
                <c:pt idx="120">
                  <c:v>6</c:v>
                </c:pt>
                <c:pt idx="121">
                  <c:v>5.7</c:v>
                </c:pt>
                <c:pt idx="122">
                  <c:v>6.3</c:v>
                </c:pt>
                <c:pt idx="123">
                  <c:v>6.2</c:v>
                </c:pt>
                <c:pt idx="124">
                  <c:v>6</c:v>
                </c:pt>
                <c:pt idx="125">
                  <c:v>5.7</c:v>
                </c:pt>
                <c:pt idx="126">
                  <c:v>6.3</c:v>
                </c:pt>
                <c:pt idx="127">
                  <c:v>6.2</c:v>
                </c:pt>
                <c:pt idx="128">
                  <c:v>6</c:v>
                </c:pt>
                <c:pt idx="129">
                  <c:v>5.7</c:v>
                </c:pt>
                <c:pt idx="130">
                  <c:v>6.2</c:v>
                </c:pt>
                <c:pt idx="131">
                  <c:v>6.2</c:v>
                </c:pt>
                <c:pt idx="132">
                  <c:v>6</c:v>
                </c:pt>
                <c:pt idx="133">
                  <c:v>5.7</c:v>
                </c:pt>
                <c:pt idx="134">
                  <c:v>6.3</c:v>
                </c:pt>
                <c:pt idx="135">
                  <c:v>6.2</c:v>
                </c:pt>
                <c:pt idx="136">
                  <c:v>6</c:v>
                </c:pt>
                <c:pt idx="137">
                  <c:v>5.8</c:v>
                </c:pt>
                <c:pt idx="138">
                  <c:v>6.3</c:v>
                </c:pt>
                <c:pt idx="139">
                  <c:v>6.2</c:v>
                </c:pt>
                <c:pt idx="140">
                  <c:v>6</c:v>
                </c:pt>
                <c:pt idx="141">
                  <c:v>5.8</c:v>
                </c:pt>
                <c:pt idx="142">
                  <c:v>6.3</c:v>
                </c:pt>
                <c:pt idx="143">
                  <c:v>6.2</c:v>
                </c:pt>
                <c:pt idx="144">
                  <c:v>6</c:v>
                </c:pt>
                <c:pt idx="145">
                  <c:v>5.8</c:v>
                </c:pt>
                <c:pt idx="146">
                  <c:v>6.3</c:v>
                </c:pt>
                <c:pt idx="147">
                  <c:v>6.2</c:v>
                </c:pt>
                <c:pt idx="148">
                  <c:v>6</c:v>
                </c:pt>
                <c:pt idx="149">
                  <c:v>5.8</c:v>
                </c:pt>
                <c:pt idx="150">
                  <c:v>6.3</c:v>
                </c:pt>
                <c:pt idx="151">
                  <c:v>6.2</c:v>
                </c:pt>
                <c:pt idx="152">
                  <c:v>6</c:v>
                </c:pt>
                <c:pt idx="153">
                  <c:v>5.8</c:v>
                </c:pt>
                <c:pt idx="154">
                  <c:v>6.2</c:v>
                </c:pt>
                <c:pt idx="155">
                  <c:v>6.2</c:v>
                </c:pt>
                <c:pt idx="156">
                  <c:v>6</c:v>
                </c:pt>
                <c:pt idx="157">
                  <c:v>5.8</c:v>
                </c:pt>
                <c:pt idx="158">
                  <c:v>6.3</c:v>
                </c:pt>
                <c:pt idx="159">
                  <c:v>5.6</c:v>
                </c:pt>
                <c:pt idx="160">
                  <c:v>5.9</c:v>
                </c:pt>
                <c:pt idx="161">
                  <c:v>6.3</c:v>
                </c:pt>
                <c:pt idx="162">
                  <c:v>6.2</c:v>
                </c:pt>
                <c:pt idx="163">
                  <c:v>6.1</c:v>
                </c:pt>
                <c:pt idx="164">
                  <c:v>5.9</c:v>
                </c:pt>
                <c:pt idx="165">
                  <c:v>6.3</c:v>
                </c:pt>
                <c:pt idx="166">
                  <c:v>6.2</c:v>
                </c:pt>
                <c:pt idx="167">
                  <c:v>6.1</c:v>
                </c:pt>
                <c:pt idx="168">
                  <c:v>5.9</c:v>
                </c:pt>
                <c:pt idx="169">
                  <c:v>6.2</c:v>
                </c:pt>
                <c:pt idx="170">
                  <c:v>6.2</c:v>
                </c:pt>
                <c:pt idx="171">
                  <c:v>6.1</c:v>
                </c:pt>
                <c:pt idx="172">
                  <c:v>5.8</c:v>
                </c:pt>
                <c:pt idx="173">
                  <c:v>6.3</c:v>
                </c:pt>
                <c:pt idx="174">
                  <c:v>6.2</c:v>
                </c:pt>
                <c:pt idx="175">
                  <c:v>6</c:v>
                </c:pt>
                <c:pt idx="176">
                  <c:v>5.7</c:v>
                </c:pt>
                <c:pt idx="177">
                  <c:v>6.2</c:v>
                </c:pt>
                <c:pt idx="178">
                  <c:v>6.2</c:v>
                </c:pt>
                <c:pt idx="179">
                  <c:v>5.9</c:v>
                </c:pt>
                <c:pt idx="180">
                  <c:v>6.2</c:v>
                </c:pt>
                <c:pt idx="181">
                  <c:v>6.2</c:v>
                </c:pt>
                <c:pt idx="182">
                  <c:v>6.1</c:v>
                </c:pt>
                <c:pt idx="183">
                  <c:v>5.8</c:v>
                </c:pt>
                <c:pt idx="184">
                  <c:v>5.4</c:v>
                </c:pt>
                <c:pt idx="185">
                  <c:v>6.2</c:v>
                </c:pt>
                <c:pt idx="186">
                  <c:v>6</c:v>
                </c:pt>
                <c:pt idx="187">
                  <c:v>5.7</c:v>
                </c:pt>
                <c:pt idx="188">
                  <c:v>6.2</c:v>
                </c:pt>
                <c:pt idx="189">
                  <c:v>6.2</c:v>
                </c:pt>
                <c:pt idx="190">
                  <c:v>5.9</c:v>
                </c:pt>
                <c:pt idx="191">
                  <c:v>6.2</c:v>
                </c:pt>
                <c:pt idx="192">
                  <c:v>6.2</c:v>
                </c:pt>
                <c:pt idx="193">
                  <c:v>6.1</c:v>
                </c:pt>
                <c:pt idx="194">
                  <c:v>5.8</c:v>
                </c:pt>
                <c:pt idx="195">
                  <c:v>6.3</c:v>
                </c:pt>
                <c:pt idx="196">
                  <c:v>6.2</c:v>
                </c:pt>
                <c:pt idx="197">
                  <c:v>6</c:v>
                </c:pt>
                <c:pt idx="198">
                  <c:v>5.7</c:v>
                </c:pt>
                <c:pt idx="199">
                  <c:v>6.2</c:v>
                </c:pt>
                <c:pt idx="200">
                  <c:v>6.1</c:v>
                </c:pt>
                <c:pt idx="201">
                  <c:v>5.9</c:v>
                </c:pt>
                <c:pt idx="202">
                  <c:v>6.2</c:v>
                </c:pt>
                <c:pt idx="203">
                  <c:v>6.2</c:v>
                </c:pt>
                <c:pt idx="204">
                  <c:v>6.1</c:v>
                </c:pt>
                <c:pt idx="205">
                  <c:v>5.8</c:v>
                </c:pt>
                <c:pt idx="206">
                  <c:v>6.3</c:v>
                </c:pt>
                <c:pt idx="207">
                  <c:v>6.2</c:v>
                </c:pt>
                <c:pt idx="208">
                  <c:v>5.9</c:v>
                </c:pt>
                <c:pt idx="209">
                  <c:v>5.7</c:v>
                </c:pt>
                <c:pt idx="210">
                  <c:v>6.3</c:v>
                </c:pt>
                <c:pt idx="211">
                  <c:v>6.2</c:v>
                </c:pt>
                <c:pt idx="212">
                  <c:v>5.9</c:v>
                </c:pt>
                <c:pt idx="213">
                  <c:v>6.1</c:v>
                </c:pt>
                <c:pt idx="214">
                  <c:v>6.2</c:v>
                </c:pt>
                <c:pt idx="215">
                  <c:v>6.1</c:v>
                </c:pt>
                <c:pt idx="216">
                  <c:v>5.8</c:v>
                </c:pt>
                <c:pt idx="217">
                  <c:v>6.3</c:v>
                </c:pt>
                <c:pt idx="218">
                  <c:v>6.2</c:v>
                </c:pt>
                <c:pt idx="219">
                  <c:v>6</c:v>
                </c:pt>
                <c:pt idx="220">
                  <c:v>5.7</c:v>
                </c:pt>
                <c:pt idx="221">
                  <c:v>6.2</c:v>
                </c:pt>
                <c:pt idx="222">
                  <c:v>6.2</c:v>
                </c:pt>
                <c:pt idx="223">
                  <c:v>5.9</c:v>
                </c:pt>
                <c:pt idx="224">
                  <c:v>6.2</c:v>
                </c:pt>
                <c:pt idx="225">
                  <c:v>6.2</c:v>
                </c:pt>
                <c:pt idx="226">
                  <c:v>6.1</c:v>
                </c:pt>
                <c:pt idx="227">
                  <c:v>5.8</c:v>
                </c:pt>
                <c:pt idx="228">
                  <c:v>6.3</c:v>
                </c:pt>
                <c:pt idx="229">
                  <c:v>6.2</c:v>
                </c:pt>
                <c:pt idx="230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B9-43F8-A0CB-290D9F636084}"/>
            </c:ext>
          </c:extLst>
        </c:ser>
        <c:ser>
          <c:idx val="3"/>
          <c:order val="3"/>
          <c:tx>
            <c:strRef>
              <c:f>'Parámetros proceso'!$N$1:$Q$1</c:f>
              <c:strCache>
                <c:ptCount val="1"/>
                <c:pt idx="0">
                  <c:v>Lote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proceso'!$A$3:$A$246</c:f>
              <c:numCache>
                <c:formatCode>General</c:formatCode>
                <c:ptCount val="2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</c:numCache>
            </c:numRef>
          </c:xVal>
          <c:yVal>
            <c:numRef>
              <c:f>'Parámetros proceso'!$O$3:$O$246</c:f>
              <c:numCache>
                <c:formatCode>General</c:formatCode>
                <c:ptCount val="244"/>
                <c:pt idx="0">
                  <c:v>5.9</c:v>
                </c:pt>
                <c:pt idx="1">
                  <c:v>6</c:v>
                </c:pt>
                <c:pt idx="2">
                  <c:v>6.2</c:v>
                </c:pt>
                <c:pt idx="3">
                  <c:v>6.3</c:v>
                </c:pt>
                <c:pt idx="4">
                  <c:v>6.3</c:v>
                </c:pt>
                <c:pt idx="5">
                  <c:v>6.2</c:v>
                </c:pt>
                <c:pt idx="6">
                  <c:v>6.1</c:v>
                </c:pt>
                <c:pt idx="7">
                  <c:v>5.8</c:v>
                </c:pt>
                <c:pt idx="8">
                  <c:v>6.2</c:v>
                </c:pt>
                <c:pt idx="9">
                  <c:v>6.2</c:v>
                </c:pt>
                <c:pt idx="10">
                  <c:v>6.1</c:v>
                </c:pt>
                <c:pt idx="11">
                  <c:v>5.8</c:v>
                </c:pt>
                <c:pt idx="12">
                  <c:v>6.1</c:v>
                </c:pt>
                <c:pt idx="13">
                  <c:v>6.2</c:v>
                </c:pt>
                <c:pt idx="14">
                  <c:v>6.1</c:v>
                </c:pt>
                <c:pt idx="15">
                  <c:v>5.9</c:v>
                </c:pt>
                <c:pt idx="16">
                  <c:v>6</c:v>
                </c:pt>
                <c:pt idx="17">
                  <c:v>6.2</c:v>
                </c:pt>
                <c:pt idx="18">
                  <c:v>6.1</c:v>
                </c:pt>
                <c:pt idx="19">
                  <c:v>5.9</c:v>
                </c:pt>
                <c:pt idx="20">
                  <c:v>5.7</c:v>
                </c:pt>
                <c:pt idx="21">
                  <c:v>6.2</c:v>
                </c:pt>
                <c:pt idx="22">
                  <c:v>6.2</c:v>
                </c:pt>
                <c:pt idx="23">
                  <c:v>5.9</c:v>
                </c:pt>
                <c:pt idx="24">
                  <c:v>5.7</c:v>
                </c:pt>
                <c:pt idx="25">
                  <c:v>6.2</c:v>
                </c:pt>
                <c:pt idx="26">
                  <c:v>6.2</c:v>
                </c:pt>
                <c:pt idx="27">
                  <c:v>6</c:v>
                </c:pt>
                <c:pt idx="28">
                  <c:v>6.3</c:v>
                </c:pt>
                <c:pt idx="29">
                  <c:v>6.2</c:v>
                </c:pt>
                <c:pt idx="30">
                  <c:v>6.1</c:v>
                </c:pt>
                <c:pt idx="31">
                  <c:v>5.8</c:v>
                </c:pt>
                <c:pt idx="32">
                  <c:v>6.3</c:v>
                </c:pt>
                <c:pt idx="33">
                  <c:v>6.2</c:v>
                </c:pt>
                <c:pt idx="34">
                  <c:v>6.1</c:v>
                </c:pt>
                <c:pt idx="35">
                  <c:v>5.8</c:v>
                </c:pt>
                <c:pt idx="36">
                  <c:v>6.2</c:v>
                </c:pt>
                <c:pt idx="37">
                  <c:v>6.2</c:v>
                </c:pt>
                <c:pt idx="38">
                  <c:v>6.1</c:v>
                </c:pt>
                <c:pt idx="39">
                  <c:v>5.8</c:v>
                </c:pt>
                <c:pt idx="40">
                  <c:v>6.3</c:v>
                </c:pt>
                <c:pt idx="41">
                  <c:v>6.2</c:v>
                </c:pt>
                <c:pt idx="42">
                  <c:v>6.1</c:v>
                </c:pt>
                <c:pt idx="43">
                  <c:v>5.8</c:v>
                </c:pt>
                <c:pt idx="44">
                  <c:v>6.3</c:v>
                </c:pt>
                <c:pt idx="45">
                  <c:v>6.2</c:v>
                </c:pt>
                <c:pt idx="46">
                  <c:v>6.1</c:v>
                </c:pt>
                <c:pt idx="47">
                  <c:v>5.9</c:v>
                </c:pt>
                <c:pt idx="48">
                  <c:v>6.3</c:v>
                </c:pt>
                <c:pt idx="49">
                  <c:v>6.2</c:v>
                </c:pt>
                <c:pt idx="50">
                  <c:v>6</c:v>
                </c:pt>
                <c:pt idx="51">
                  <c:v>5.8</c:v>
                </c:pt>
                <c:pt idx="52">
                  <c:v>6.3</c:v>
                </c:pt>
                <c:pt idx="53">
                  <c:v>6.1</c:v>
                </c:pt>
                <c:pt idx="54">
                  <c:v>5.9</c:v>
                </c:pt>
                <c:pt idx="55">
                  <c:v>6.3</c:v>
                </c:pt>
                <c:pt idx="56">
                  <c:v>6.2</c:v>
                </c:pt>
                <c:pt idx="57">
                  <c:v>6.1</c:v>
                </c:pt>
                <c:pt idx="58">
                  <c:v>5.9</c:v>
                </c:pt>
                <c:pt idx="59">
                  <c:v>6</c:v>
                </c:pt>
                <c:pt idx="60">
                  <c:v>6.2</c:v>
                </c:pt>
                <c:pt idx="61">
                  <c:v>6.1</c:v>
                </c:pt>
                <c:pt idx="62">
                  <c:v>5.9</c:v>
                </c:pt>
                <c:pt idx="63">
                  <c:v>6.2</c:v>
                </c:pt>
                <c:pt idx="64">
                  <c:v>6.2</c:v>
                </c:pt>
                <c:pt idx="65">
                  <c:v>6.1</c:v>
                </c:pt>
                <c:pt idx="66">
                  <c:v>5.9</c:v>
                </c:pt>
                <c:pt idx="67">
                  <c:v>6.1</c:v>
                </c:pt>
                <c:pt idx="68">
                  <c:v>6.2</c:v>
                </c:pt>
                <c:pt idx="69">
                  <c:v>6.1</c:v>
                </c:pt>
                <c:pt idx="70">
                  <c:v>5.9</c:v>
                </c:pt>
                <c:pt idx="71">
                  <c:v>6.1</c:v>
                </c:pt>
                <c:pt idx="72">
                  <c:v>6.2</c:v>
                </c:pt>
                <c:pt idx="73">
                  <c:v>6.1</c:v>
                </c:pt>
                <c:pt idx="74">
                  <c:v>5.9</c:v>
                </c:pt>
                <c:pt idx="75">
                  <c:v>6</c:v>
                </c:pt>
                <c:pt idx="76">
                  <c:v>6.2</c:v>
                </c:pt>
                <c:pt idx="77">
                  <c:v>6.1</c:v>
                </c:pt>
                <c:pt idx="78">
                  <c:v>5.7</c:v>
                </c:pt>
                <c:pt idx="79">
                  <c:v>6.3</c:v>
                </c:pt>
                <c:pt idx="80">
                  <c:v>6.2</c:v>
                </c:pt>
                <c:pt idx="81">
                  <c:v>6.1</c:v>
                </c:pt>
                <c:pt idx="82">
                  <c:v>5.8</c:v>
                </c:pt>
                <c:pt idx="83">
                  <c:v>6.3</c:v>
                </c:pt>
                <c:pt idx="84">
                  <c:v>6.2</c:v>
                </c:pt>
                <c:pt idx="85">
                  <c:v>6.1</c:v>
                </c:pt>
                <c:pt idx="86">
                  <c:v>5.8</c:v>
                </c:pt>
                <c:pt idx="87">
                  <c:v>6.3</c:v>
                </c:pt>
                <c:pt idx="88">
                  <c:v>6.2</c:v>
                </c:pt>
                <c:pt idx="89">
                  <c:v>6</c:v>
                </c:pt>
                <c:pt idx="90">
                  <c:v>5.7</c:v>
                </c:pt>
                <c:pt idx="91">
                  <c:v>6.3</c:v>
                </c:pt>
                <c:pt idx="92">
                  <c:v>6.2</c:v>
                </c:pt>
                <c:pt idx="93">
                  <c:v>6</c:v>
                </c:pt>
                <c:pt idx="94">
                  <c:v>5.8</c:v>
                </c:pt>
                <c:pt idx="95">
                  <c:v>6.2</c:v>
                </c:pt>
                <c:pt idx="96">
                  <c:v>6.1</c:v>
                </c:pt>
                <c:pt idx="97">
                  <c:v>5.9</c:v>
                </c:pt>
                <c:pt idx="98">
                  <c:v>6.2</c:v>
                </c:pt>
                <c:pt idx="99">
                  <c:v>6.2</c:v>
                </c:pt>
                <c:pt idx="100">
                  <c:v>6.1</c:v>
                </c:pt>
                <c:pt idx="101">
                  <c:v>5.7</c:v>
                </c:pt>
                <c:pt idx="102">
                  <c:v>6.3</c:v>
                </c:pt>
                <c:pt idx="103">
                  <c:v>6.2</c:v>
                </c:pt>
                <c:pt idx="104">
                  <c:v>5.8</c:v>
                </c:pt>
                <c:pt idx="105">
                  <c:v>6.3</c:v>
                </c:pt>
                <c:pt idx="106">
                  <c:v>6.2</c:v>
                </c:pt>
                <c:pt idx="107">
                  <c:v>6</c:v>
                </c:pt>
                <c:pt idx="108">
                  <c:v>5.7</c:v>
                </c:pt>
                <c:pt idx="109">
                  <c:v>6.2</c:v>
                </c:pt>
                <c:pt idx="110">
                  <c:v>6.2</c:v>
                </c:pt>
                <c:pt idx="111">
                  <c:v>5.9</c:v>
                </c:pt>
                <c:pt idx="112">
                  <c:v>6.2</c:v>
                </c:pt>
                <c:pt idx="113">
                  <c:v>6.2</c:v>
                </c:pt>
                <c:pt idx="114">
                  <c:v>6.1</c:v>
                </c:pt>
                <c:pt idx="115">
                  <c:v>5.6</c:v>
                </c:pt>
                <c:pt idx="116">
                  <c:v>6.3</c:v>
                </c:pt>
                <c:pt idx="117">
                  <c:v>6.2</c:v>
                </c:pt>
                <c:pt idx="118">
                  <c:v>6</c:v>
                </c:pt>
                <c:pt idx="119">
                  <c:v>5.8</c:v>
                </c:pt>
                <c:pt idx="120">
                  <c:v>6.2</c:v>
                </c:pt>
                <c:pt idx="121">
                  <c:v>6.1</c:v>
                </c:pt>
                <c:pt idx="122">
                  <c:v>5.9</c:v>
                </c:pt>
                <c:pt idx="123">
                  <c:v>6.2</c:v>
                </c:pt>
                <c:pt idx="124">
                  <c:v>6.2</c:v>
                </c:pt>
                <c:pt idx="125">
                  <c:v>6</c:v>
                </c:pt>
                <c:pt idx="126">
                  <c:v>5.8</c:v>
                </c:pt>
                <c:pt idx="127">
                  <c:v>6.3</c:v>
                </c:pt>
                <c:pt idx="128">
                  <c:v>6.2</c:v>
                </c:pt>
                <c:pt idx="129">
                  <c:v>6</c:v>
                </c:pt>
                <c:pt idx="130">
                  <c:v>5.9</c:v>
                </c:pt>
                <c:pt idx="131">
                  <c:v>6.2</c:v>
                </c:pt>
                <c:pt idx="132">
                  <c:v>6.2</c:v>
                </c:pt>
                <c:pt idx="133">
                  <c:v>5.9</c:v>
                </c:pt>
                <c:pt idx="134">
                  <c:v>5.8</c:v>
                </c:pt>
                <c:pt idx="135">
                  <c:v>6.2</c:v>
                </c:pt>
                <c:pt idx="136">
                  <c:v>6.2</c:v>
                </c:pt>
                <c:pt idx="137">
                  <c:v>6</c:v>
                </c:pt>
                <c:pt idx="138">
                  <c:v>5.7</c:v>
                </c:pt>
                <c:pt idx="139">
                  <c:v>6.2</c:v>
                </c:pt>
                <c:pt idx="140">
                  <c:v>6.2</c:v>
                </c:pt>
                <c:pt idx="141">
                  <c:v>6</c:v>
                </c:pt>
                <c:pt idx="142">
                  <c:v>5.7</c:v>
                </c:pt>
                <c:pt idx="143">
                  <c:v>6.2</c:v>
                </c:pt>
                <c:pt idx="144">
                  <c:v>6.2</c:v>
                </c:pt>
                <c:pt idx="145">
                  <c:v>5.8</c:v>
                </c:pt>
                <c:pt idx="146">
                  <c:v>5.7</c:v>
                </c:pt>
                <c:pt idx="147">
                  <c:v>6.3</c:v>
                </c:pt>
                <c:pt idx="148">
                  <c:v>6.2</c:v>
                </c:pt>
                <c:pt idx="149">
                  <c:v>6</c:v>
                </c:pt>
                <c:pt idx="150">
                  <c:v>5.8</c:v>
                </c:pt>
                <c:pt idx="151">
                  <c:v>6.3</c:v>
                </c:pt>
                <c:pt idx="152">
                  <c:v>6.2</c:v>
                </c:pt>
                <c:pt idx="153">
                  <c:v>6</c:v>
                </c:pt>
                <c:pt idx="154">
                  <c:v>5.5</c:v>
                </c:pt>
                <c:pt idx="155">
                  <c:v>6.3</c:v>
                </c:pt>
                <c:pt idx="156">
                  <c:v>6.1</c:v>
                </c:pt>
                <c:pt idx="157">
                  <c:v>6</c:v>
                </c:pt>
                <c:pt idx="158">
                  <c:v>5.7</c:v>
                </c:pt>
                <c:pt idx="159">
                  <c:v>6.3</c:v>
                </c:pt>
                <c:pt idx="160">
                  <c:v>6.2</c:v>
                </c:pt>
                <c:pt idx="161">
                  <c:v>6</c:v>
                </c:pt>
                <c:pt idx="162">
                  <c:v>5.8</c:v>
                </c:pt>
                <c:pt idx="163">
                  <c:v>6.3</c:v>
                </c:pt>
                <c:pt idx="164">
                  <c:v>6.2</c:v>
                </c:pt>
                <c:pt idx="165">
                  <c:v>6.1</c:v>
                </c:pt>
                <c:pt idx="166">
                  <c:v>5.8</c:v>
                </c:pt>
                <c:pt idx="167">
                  <c:v>6.3</c:v>
                </c:pt>
                <c:pt idx="168">
                  <c:v>6.2</c:v>
                </c:pt>
                <c:pt idx="169">
                  <c:v>6.1</c:v>
                </c:pt>
                <c:pt idx="170">
                  <c:v>5.8</c:v>
                </c:pt>
                <c:pt idx="171">
                  <c:v>6.3</c:v>
                </c:pt>
                <c:pt idx="172">
                  <c:v>6.2</c:v>
                </c:pt>
                <c:pt idx="173">
                  <c:v>6.1</c:v>
                </c:pt>
                <c:pt idx="174">
                  <c:v>5.8</c:v>
                </c:pt>
                <c:pt idx="175">
                  <c:v>6.3</c:v>
                </c:pt>
                <c:pt idx="176">
                  <c:v>6.2</c:v>
                </c:pt>
                <c:pt idx="177">
                  <c:v>6.1</c:v>
                </c:pt>
                <c:pt idx="178">
                  <c:v>5.9</c:v>
                </c:pt>
                <c:pt idx="179">
                  <c:v>6.3</c:v>
                </c:pt>
                <c:pt idx="180">
                  <c:v>6.2</c:v>
                </c:pt>
                <c:pt idx="181">
                  <c:v>6</c:v>
                </c:pt>
                <c:pt idx="182">
                  <c:v>6</c:v>
                </c:pt>
                <c:pt idx="183">
                  <c:v>6.2</c:v>
                </c:pt>
                <c:pt idx="184">
                  <c:v>6.2</c:v>
                </c:pt>
                <c:pt idx="185">
                  <c:v>6</c:v>
                </c:pt>
                <c:pt idx="186">
                  <c:v>5.8</c:v>
                </c:pt>
                <c:pt idx="187">
                  <c:v>6.2</c:v>
                </c:pt>
                <c:pt idx="188">
                  <c:v>6.2</c:v>
                </c:pt>
                <c:pt idx="189">
                  <c:v>5.9</c:v>
                </c:pt>
                <c:pt idx="190">
                  <c:v>5.7</c:v>
                </c:pt>
                <c:pt idx="191">
                  <c:v>6.2</c:v>
                </c:pt>
                <c:pt idx="192">
                  <c:v>6.2</c:v>
                </c:pt>
                <c:pt idx="193">
                  <c:v>6</c:v>
                </c:pt>
                <c:pt idx="194">
                  <c:v>5.7</c:v>
                </c:pt>
                <c:pt idx="195">
                  <c:v>6.2</c:v>
                </c:pt>
                <c:pt idx="196">
                  <c:v>6.2</c:v>
                </c:pt>
                <c:pt idx="197">
                  <c:v>6</c:v>
                </c:pt>
                <c:pt idx="198">
                  <c:v>5.8</c:v>
                </c:pt>
                <c:pt idx="199">
                  <c:v>6.2</c:v>
                </c:pt>
                <c:pt idx="200">
                  <c:v>6.2</c:v>
                </c:pt>
                <c:pt idx="201">
                  <c:v>6.1</c:v>
                </c:pt>
                <c:pt idx="202">
                  <c:v>5.8</c:v>
                </c:pt>
                <c:pt idx="203">
                  <c:v>6.3</c:v>
                </c:pt>
                <c:pt idx="204">
                  <c:v>6.2</c:v>
                </c:pt>
                <c:pt idx="205">
                  <c:v>5.9</c:v>
                </c:pt>
                <c:pt idx="206">
                  <c:v>6.3</c:v>
                </c:pt>
                <c:pt idx="207">
                  <c:v>6.2</c:v>
                </c:pt>
                <c:pt idx="208">
                  <c:v>6.1</c:v>
                </c:pt>
                <c:pt idx="209">
                  <c:v>5.9</c:v>
                </c:pt>
                <c:pt idx="210">
                  <c:v>6.3</c:v>
                </c:pt>
                <c:pt idx="211">
                  <c:v>6.2</c:v>
                </c:pt>
                <c:pt idx="212">
                  <c:v>6.1</c:v>
                </c:pt>
                <c:pt idx="213">
                  <c:v>5.9</c:v>
                </c:pt>
                <c:pt idx="214">
                  <c:v>6.2</c:v>
                </c:pt>
                <c:pt idx="215">
                  <c:v>6.2</c:v>
                </c:pt>
                <c:pt idx="216">
                  <c:v>6.1</c:v>
                </c:pt>
                <c:pt idx="217">
                  <c:v>5.9</c:v>
                </c:pt>
                <c:pt idx="218">
                  <c:v>6.1</c:v>
                </c:pt>
                <c:pt idx="219">
                  <c:v>6.2</c:v>
                </c:pt>
                <c:pt idx="220">
                  <c:v>6.2</c:v>
                </c:pt>
                <c:pt idx="221">
                  <c:v>6</c:v>
                </c:pt>
                <c:pt idx="222">
                  <c:v>5.8</c:v>
                </c:pt>
                <c:pt idx="223">
                  <c:v>6.2</c:v>
                </c:pt>
                <c:pt idx="224">
                  <c:v>6.2</c:v>
                </c:pt>
                <c:pt idx="225">
                  <c:v>6</c:v>
                </c:pt>
                <c:pt idx="226">
                  <c:v>5.7</c:v>
                </c:pt>
                <c:pt idx="227">
                  <c:v>6.2</c:v>
                </c:pt>
                <c:pt idx="228">
                  <c:v>6.2</c:v>
                </c:pt>
                <c:pt idx="229">
                  <c:v>6.1</c:v>
                </c:pt>
                <c:pt idx="230">
                  <c:v>5.7</c:v>
                </c:pt>
                <c:pt idx="231">
                  <c:v>6.3</c:v>
                </c:pt>
                <c:pt idx="232">
                  <c:v>6.2</c:v>
                </c:pt>
                <c:pt idx="233">
                  <c:v>6</c:v>
                </c:pt>
                <c:pt idx="234">
                  <c:v>5.8</c:v>
                </c:pt>
                <c:pt idx="235">
                  <c:v>6.3</c:v>
                </c:pt>
                <c:pt idx="236">
                  <c:v>6.2</c:v>
                </c:pt>
                <c:pt idx="237">
                  <c:v>6.1</c:v>
                </c:pt>
                <c:pt idx="238">
                  <c:v>5.8</c:v>
                </c:pt>
                <c:pt idx="239">
                  <c:v>6.3</c:v>
                </c:pt>
                <c:pt idx="240">
                  <c:v>6.2</c:v>
                </c:pt>
                <c:pt idx="241">
                  <c:v>6.1</c:v>
                </c:pt>
                <c:pt idx="242">
                  <c:v>5.9</c:v>
                </c:pt>
                <c:pt idx="243">
                  <c:v>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B9-43F8-A0CB-290D9F636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787183"/>
        <c:axId val="1839731023"/>
      </c:scatterChart>
      <c:valAx>
        <c:axId val="1839787183"/>
        <c:scaling>
          <c:orientation val="minMax"/>
          <c:max val="3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200" b="1"/>
                  <a:t>Tiempo</a:t>
                </a:r>
                <a:r>
                  <a:rPr lang="es-ES" sz="1200" b="1" baseline="0"/>
                  <a:t> [min]</a:t>
                </a:r>
                <a:endParaRPr lang="es-E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9731023"/>
        <c:crosses val="autoZero"/>
        <c:crossBetween val="midCat"/>
        <c:majorUnit val="20"/>
      </c:valAx>
      <c:valAx>
        <c:axId val="1839731023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200" b="1"/>
                  <a:t>P aire comp</a:t>
                </a:r>
                <a:r>
                  <a:rPr lang="es-ES" sz="1200" b="1" baseline="0"/>
                  <a:t>  </a:t>
                </a:r>
                <a:r>
                  <a:rPr lang="es-ES" sz="1200" b="1"/>
                  <a:t> </a:t>
                </a:r>
                <a:r>
                  <a:rPr lang="es-ES" sz="1200" b="1" baseline="0"/>
                  <a:t>[bar]</a:t>
                </a:r>
                <a:endParaRPr lang="es-ES" sz="1200" b="1"/>
              </a:p>
            </c:rich>
          </c:tx>
          <c:layout>
            <c:manualLayout>
              <c:xMode val="edge"/>
              <c:yMode val="edge"/>
              <c:x val="1.3108614232209739E-2"/>
              <c:y val="0.342851421565355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9787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6824884249019432"/>
          <c:y val="0.7719852894083794"/>
          <c:w val="0.50328673803415014"/>
          <c:h val="7.0357682268408023E-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902946120498982E-2"/>
          <c:y val="3.7752032651049344E-2"/>
          <c:w val="0.88376537202512606"/>
          <c:h val="0.810130245863828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'Parámetros proceso'!$B$1:$E$1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proceso'!$A$3:$A$272</c:f>
              <c:numCache>
                <c:formatCode>General</c:formatCode>
                <c:ptCount val="2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</c:numCache>
            </c:numRef>
          </c:xVal>
          <c:yVal>
            <c:numRef>
              <c:f>'Parámetros proceso'!$D$3:$D$272</c:f>
              <c:numCache>
                <c:formatCode>General</c:formatCode>
                <c:ptCount val="270"/>
                <c:pt idx="0">
                  <c:v>16.899999999999999</c:v>
                </c:pt>
                <c:pt idx="1">
                  <c:v>17</c:v>
                </c:pt>
                <c:pt idx="2">
                  <c:v>26.1</c:v>
                </c:pt>
                <c:pt idx="3">
                  <c:v>32.6</c:v>
                </c:pt>
                <c:pt idx="4">
                  <c:v>34.700000000000003</c:v>
                </c:pt>
                <c:pt idx="5">
                  <c:v>35.4</c:v>
                </c:pt>
                <c:pt idx="6">
                  <c:v>35.9</c:v>
                </c:pt>
                <c:pt idx="7">
                  <c:v>36.6</c:v>
                </c:pt>
                <c:pt idx="8">
                  <c:v>37.6</c:v>
                </c:pt>
                <c:pt idx="9">
                  <c:v>38.799999999999997</c:v>
                </c:pt>
                <c:pt idx="10">
                  <c:v>40.5</c:v>
                </c:pt>
                <c:pt idx="11">
                  <c:v>42.3</c:v>
                </c:pt>
                <c:pt idx="12">
                  <c:v>43.8</c:v>
                </c:pt>
                <c:pt idx="13">
                  <c:v>45</c:v>
                </c:pt>
                <c:pt idx="14">
                  <c:v>45.9</c:v>
                </c:pt>
                <c:pt idx="15">
                  <c:v>46.7</c:v>
                </c:pt>
                <c:pt idx="16">
                  <c:v>47.4</c:v>
                </c:pt>
                <c:pt idx="17">
                  <c:v>47.9</c:v>
                </c:pt>
                <c:pt idx="18">
                  <c:v>48.4</c:v>
                </c:pt>
                <c:pt idx="19">
                  <c:v>48.8</c:v>
                </c:pt>
                <c:pt idx="20">
                  <c:v>49.1</c:v>
                </c:pt>
                <c:pt idx="21">
                  <c:v>49.2</c:v>
                </c:pt>
                <c:pt idx="22">
                  <c:v>49.3</c:v>
                </c:pt>
                <c:pt idx="23">
                  <c:v>49.5</c:v>
                </c:pt>
                <c:pt idx="24">
                  <c:v>49.9</c:v>
                </c:pt>
                <c:pt idx="25">
                  <c:v>50.2</c:v>
                </c:pt>
                <c:pt idx="26">
                  <c:v>50.8</c:v>
                </c:pt>
                <c:pt idx="27">
                  <c:v>51.1</c:v>
                </c:pt>
                <c:pt idx="28">
                  <c:v>51.5</c:v>
                </c:pt>
                <c:pt idx="29">
                  <c:v>51.9</c:v>
                </c:pt>
                <c:pt idx="30">
                  <c:v>52.1</c:v>
                </c:pt>
                <c:pt idx="31">
                  <c:v>52.3</c:v>
                </c:pt>
                <c:pt idx="32">
                  <c:v>52.7</c:v>
                </c:pt>
                <c:pt idx="33">
                  <c:v>52.9</c:v>
                </c:pt>
                <c:pt idx="34">
                  <c:v>53</c:v>
                </c:pt>
                <c:pt idx="35">
                  <c:v>53.2</c:v>
                </c:pt>
                <c:pt idx="36">
                  <c:v>38</c:v>
                </c:pt>
                <c:pt idx="37">
                  <c:v>50.3</c:v>
                </c:pt>
                <c:pt idx="38">
                  <c:v>53.4</c:v>
                </c:pt>
                <c:pt idx="39">
                  <c:v>53.9</c:v>
                </c:pt>
                <c:pt idx="40">
                  <c:v>53.1</c:v>
                </c:pt>
                <c:pt idx="41">
                  <c:v>52.5</c:v>
                </c:pt>
                <c:pt idx="42">
                  <c:v>52.6</c:v>
                </c:pt>
                <c:pt idx="43">
                  <c:v>52.7</c:v>
                </c:pt>
                <c:pt idx="44">
                  <c:v>51.6</c:v>
                </c:pt>
                <c:pt idx="45">
                  <c:v>52.5</c:v>
                </c:pt>
                <c:pt idx="46">
                  <c:v>52.6</c:v>
                </c:pt>
                <c:pt idx="47">
                  <c:v>52.6</c:v>
                </c:pt>
                <c:pt idx="48">
                  <c:v>52.5</c:v>
                </c:pt>
                <c:pt idx="49">
                  <c:v>52.3</c:v>
                </c:pt>
                <c:pt idx="50">
                  <c:v>52.4</c:v>
                </c:pt>
                <c:pt idx="51">
                  <c:v>52</c:v>
                </c:pt>
                <c:pt idx="52">
                  <c:v>52</c:v>
                </c:pt>
                <c:pt idx="53">
                  <c:v>51.7</c:v>
                </c:pt>
                <c:pt idx="54">
                  <c:v>51.5</c:v>
                </c:pt>
                <c:pt idx="55">
                  <c:v>51.4</c:v>
                </c:pt>
                <c:pt idx="56">
                  <c:v>51.3</c:v>
                </c:pt>
                <c:pt idx="57">
                  <c:v>51.3</c:v>
                </c:pt>
                <c:pt idx="58">
                  <c:v>51.2</c:v>
                </c:pt>
                <c:pt idx="59">
                  <c:v>51.3</c:v>
                </c:pt>
                <c:pt idx="60">
                  <c:v>51.5</c:v>
                </c:pt>
                <c:pt idx="61">
                  <c:v>51.7</c:v>
                </c:pt>
                <c:pt idx="62">
                  <c:v>51.6</c:v>
                </c:pt>
                <c:pt idx="63">
                  <c:v>51.8</c:v>
                </c:pt>
                <c:pt idx="64">
                  <c:v>52.1</c:v>
                </c:pt>
                <c:pt idx="65">
                  <c:v>52.1</c:v>
                </c:pt>
                <c:pt idx="66">
                  <c:v>52.4</c:v>
                </c:pt>
                <c:pt idx="67">
                  <c:v>52.5</c:v>
                </c:pt>
                <c:pt idx="68">
                  <c:v>52.8</c:v>
                </c:pt>
                <c:pt idx="69">
                  <c:v>52.9</c:v>
                </c:pt>
                <c:pt idx="70">
                  <c:v>53</c:v>
                </c:pt>
                <c:pt idx="71">
                  <c:v>53.1</c:v>
                </c:pt>
                <c:pt idx="72">
                  <c:v>53.2</c:v>
                </c:pt>
                <c:pt idx="73">
                  <c:v>53.1</c:v>
                </c:pt>
                <c:pt idx="74">
                  <c:v>53.1</c:v>
                </c:pt>
                <c:pt idx="75">
                  <c:v>53.2</c:v>
                </c:pt>
                <c:pt idx="76">
                  <c:v>53.4</c:v>
                </c:pt>
                <c:pt idx="77">
                  <c:v>52.7</c:v>
                </c:pt>
                <c:pt idx="78">
                  <c:v>53.1</c:v>
                </c:pt>
                <c:pt idx="79">
                  <c:v>52.5</c:v>
                </c:pt>
                <c:pt idx="80">
                  <c:v>53.2</c:v>
                </c:pt>
                <c:pt idx="81">
                  <c:v>53.7</c:v>
                </c:pt>
                <c:pt idx="82">
                  <c:v>52.8</c:v>
                </c:pt>
                <c:pt idx="83">
                  <c:v>53.4</c:v>
                </c:pt>
                <c:pt idx="84">
                  <c:v>53.5</c:v>
                </c:pt>
                <c:pt idx="85">
                  <c:v>53.6</c:v>
                </c:pt>
                <c:pt idx="86">
                  <c:v>53.7</c:v>
                </c:pt>
                <c:pt idx="87">
                  <c:v>53.7</c:v>
                </c:pt>
                <c:pt idx="88">
                  <c:v>53.5</c:v>
                </c:pt>
                <c:pt idx="89">
                  <c:v>53.3</c:v>
                </c:pt>
                <c:pt idx="90">
                  <c:v>53.2</c:v>
                </c:pt>
                <c:pt idx="91">
                  <c:v>53.2</c:v>
                </c:pt>
                <c:pt idx="92">
                  <c:v>53</c:v>
                </c:pt>
                <c:pt idx="93">
                  <c:v>52.8</c:v>
                </c:pt>
                <c:pt idx="94">
                  <c:v>52.6</c:v>
                </c:pt>
                <c:pt idx="95">
                  <c:v>52.4</c:v>
                </c:pt>
                <c:pt idx="96">
                  <c:v>52</c:v>
                </c:pt>
                <c:pt idx="97">
                  <c:v>51.7</c:v>
                </c:pt>
                <c:pt idx="98">
                  <c:v>51.5</c:v>
                </c:pt>
                <c:pt idx="99">
                  <c:v>51.5</c:v>
                </c:pt>
                <c:pt idx="100">
                  <c:v>51.5</c:v>
                </c:pt>
                <c:pt idx="101">
                  <c:v>51.6</c:v>
                </c:pt>
                <c:pt idx="102">
                  <c:v>51.9</c:v>
                </c:pt>
                <c:pt idx="103">
                  <c:v>51.9</c:v>
                </c:pt>
                <c:pt idx="104">
                  <c:v>52.1</c:v>
                </c:pt>
                <c:pt idx="105">
                  <c:v>52.4</c:v>
                </c:pt>
                <c:pt idx="106">
                  <c:v>52.5</c:v>
                </c:pt>
                <c:pt idx="107">
                  <c:v>52.6</c:v>
                </c:pt>
                <c:pt idx="108">
                  <c:v>52.8</c:v>
                </c:pt>
                <c:pt idx="109">
                  <c:v>52.9</c:v>
                </c:pt>
                <c:pt idx="110">
                  <c:v>52.9</c:v>
                </c:pt>
                <c:pt idx="111">
                  <c:v>52.9</c:v>
                </c:pt>
                <c:pt idx="112">
                  <c:v>52.9</c:v>
                </c:pt>
                <c:pt idx="113">
                  <c:v>53.1</c:v>
                </c:pt>
                <c:pt idx="114">
                  <c:v>53</c:v>
                </c:pt>
                <c:pt idx="115">
                  <c:v>52.9</c:v>
                </c:pt>
                <c:pt idx="116">
                  <c:v>53</c:v>
                </c:pt>
                <c:pt idx="117">
                  <c:v>53.1</c:v>
                </c:pt>
                <c:pt idx="118">
                  <c:v>53</c:v>
                </c:pt>
                <c:pt idx="119">
                  <c:v>53.2</c:v>
                </c:pt>
                <c:pt idx="120">
                  <c:v>53.6</c:v>
                </c:pt>
                <c:pt idx="121">
                  <c:v>53.9</c:v>
                </c:pt>
                <c:pt idx="122">
                  <c:v>54.2</c:v>
                </c:pt>
                <c:pt idx="123">
                  <c:v>53.3</c:v>
                </c:pt>
                <c:pt idx="124">
                  <c:v>54.1</c:v>
                </c:pt>
                <c:pt idx="125">
                  <c:v>54.1</c:v>
                </c:pt>
                <c:pt idx="126">
                  <c:v>54</c:v>
                </c:pt>
                <c:pt idx="127">
                  <c:v>54</c:v>
                </c:pt>
                <c:pt idx="128">
                  <c:v>53.8</c:v>
                </c:pt>
                <c:pt idx="129">
                  <c:v>53.7</c:v>
                </c:pt>
                <c:pt idx="130">
                  <c:v>53.6</c:v>
                </c:pt>
                <c:pt idx="131">
                  <c:v>53.6</c:v>
                </c:pt>
                <c:pt idx="132">
                  <c:v>53.6</c:v>
                </c:pt>
                <c:pt idx="133">
                  <c:v>53.3</c:v>
                </c:pt>
                <c:pt idx="134">
                  <c:v>53.2</c:v>
                </c:pt>
                <c:pt idx="135">
                  <c:v>53.2</c:v>
                </c:pt>
                <c:pt idx="136">
                  <c:v>53</c:v>
                </c:pt>
                <c:pt idx="137">
                  <c:v>53</c:v>
                </c:pt>
                <c:pt idx="138">
                  <c:v>52.8</c:v>
                </c:pt>
                <c:pt idx="139">
                  <c:v>52.6</c:v>
                </c:pt>
                <c:pt idx="140">
                  <c:v>52.5</c:v>
                </c:pt>
                <c:pt idx="141">
                  <c:v>52.3</c:v>
                </c:pt>
                <c:pt idx="142">
                  <c:v>51.9</c:v>
                </c:pt>
                <c:pt idx="143">
                  <c:v>51.7</c:v>
                </c:pt>
                <c:pt idx="144">
                  <c:v>51.5</c:v>
                </c:pt>
                <c:pt idx="145">
                  <c:v>51.3</c:v>
                </c:pt>
                <c:pt idx="146">
                  <c:v>51.3</c:v>
                </c:pt>
                <c:pt idx="147">
                  <c:v>51.5</c:v>
                </c:pt>
                <c:pt idx="148">
                  <c:v>51.9</c:v>
                </c:pt>
                <c:pt idx="149">
                  <c:v>52.1</c:v>
                </c:pt>
                <c:pt idx="150">
                  <c:v>52.5</c:v>
                </c:pt>
                <c:pt idx="151">
                  <c:v>52.9</c:v>
                </c:pt>
                <c:pt idx="152">
                  <c:v>53</c:v>
                </c:pt>
                <c:pt idx="153">
                  <c:v>53</c:v>
                </c:pt>
                <c:pt idx="154">
                  <c:v>53</c:v>
                </c:pt>
                <c:pt idx="155">
                  <c:v>53</c:v>
                </c:pt>
                <c:pt idx="156">
                  <c:v>53.1</c:v>
                </c:pt>
                <c:pt idx="157">
                  <c:v>53.1</c:v>
                </c:pt>
                <c:pt idx="158">
                  <c:v>53.6</c:v>
                </c:pt>
                <c:pt idx="159">
                  <c:v>54.9</c:v>
                </c:pt>
                <c:pt idx="160">
                  <c:v>54.4</c:v>
                </c:pt>
                <c:pt idx="161">
                  <c:v>55.6</c:v>
                </c:pt>
                <c:pt idx="162">
                  <c:v>55.2</c:v>
                </c:pt>
                <c:pt idx="163">
                  <c:v>54.9</c:v>
                </c:pt>
                <c:pt idx="164">
                  <c:v>53.9</c:v>
                </c:pt>
                <c:pt idx="165">
                  <c:v>54.7</c:v>
                </c:pt>
                <c:pt idx="166">
                  <c:v>54.1</c:v>
                </c:pt>
                <c:pt idx="167">
                  <c:v>54.3</c:v>
                </c:pt>
                <c:pt idx="168">
                  <c:v>54</c:v>
                </c:pt>
                <c:pt idx="169">
                  <c:v>54.4</c:v>
                </c:pt>
                <c:pt idx="170">
                  <c:v>54.5</c:v>
                </c:pt>
                <c:pt idx="171">
                  <c:v>54.6</c:v>
                </c:pt>
                <c:pt idx="172">
                  <c:v>54.6</c:v>
                </c:pt>
                <c:pt idx="173">
                  <c:v>54.5</c:v>
                </c:pt>
                <c:pt idx="174">
                  <c:v>54.4</c:v>
                </c:pt>
                <c:pt idx="175">
                  <c:v>54.2</c:v>
                </c:pt>
                <c:pt idx="176">
                  <c:v>54</c:v>
                </c:pt>
                <c:pt idx="177">
                  <c:v>53.8</c:v>
                </c:pt>
                <c:pt idx="178">
                  <c:v>53.6</c:v>
                </c:pt>
                <c:pt idx="179">
                  <c:v>53.6</c:v>
                </c:pt>
                <c:pt idx="180">
                  <c:v>53.4</c:v>
                </c:pt>
                <c:pt idx="181">
                  <c:v>53.1</c:v>
                </c:pt>
                <c:pt idx="182">
                  <c:v>52.9</c:v>
                </c:pt>
                <c:pt idx="183">
                  <c:v>52.6</c:v>
                </c:pt>
                <c:pt idx="184">
                  <c:v>52.3</c:v>
                </c:pt>
                <c:pt idx="185">
                  <c:v>52</c:v>
                </c:pt>
                <c:pt idx="186">
                  <c:v>51.8</c:v>
                </c:pt>
                <c:pt idx="187">
                  <c:v>51.7</c:v>
                </c:pt>
                <c:pt idx="188">
                  <c:v>52</c:v>
                </c:pt>
                <c:pt idx="189">
                  <c:v>52.6</c:v>
                </c:pt>
                <c:pt idx="190">
                  <c:v>52.4</c:v>
                </c:pt>
                <c:pt idx="191">
                  <c:v>52.5</c:v>
                </c:pt>
                <c:pt idx="192">
                  <c:v>52.1</c:v>
                </c:pt>
                <c:pt idx="193">
                  <c:v>52.2</c:v>
                </c:pt>
                <c:pt idx="194">
                  <c:v>52.5</c:v>
                </c:pt>
                <c:pt idx="195">
                  <c:v>52.9</c:v>
                </c:pt>
                <c:pt idx="196">
                  <c:v>53.1</c:v>
                </c:pt>
                <c:pt idx="197">
                  <c:v>53.4</c:v>
                </c:pt>
                <c:pt idx="198">
                  <c:v>53.5</c:v>
                </c:pt>
                <c:pt idx="199">
                  <c:v>53.7</c:v>
                </c:pt>
                <c:pt idx="200">
                  <c:v>53.8</c:v>
                </c:pt>
                <c:pt idx="201">
                  <c:v>54</c:v>
                </c:pt>
                <c:pt idx="202">
                  <c:v>54.1</c:v>
                </c:pt>
                <c:pt idx="203">
                  <c:v>54.3</c:v>
                </c:pt>
                <c:pt idx="204">
                  <c:v>54.4</c:v>
                </c:pt>
                <c:pt idx="205">
                  <c:v>54.5</c:v>
                </c:pt>
                <c:pt idx="206">
                  <c:v>54.7</c:v>
                </c:pt>
                <c:pt idx="207">
                  <c:v>54.9</c:v>
                </c:pt>
                <c:pt idx="208">
                  <c:v>55.1</c:v>
                </c:pt>
                <c:pt idx="209">
                  <c:v>55.4</c:v>
                </c:pt>
                <c:pt idx="210">
                  <c:v>54.5</c:v>
                </c:pt>
                <c:pt idx="211">
                  <c:v>54.4</c:v>
                </c:pt>
                <c:pt idx="212">
                  <c:v>53.2</c:v>
                </c:pt>
                <c:pt idx="213">
                  <c:v>53.6</c:v>
                </c:pt>
                <c:pt idx="214">
                  <c:v>53.6</c:v>
                </c:pt>
                <c:pt idx="215">
                  <c:v>53.6</c:v>
                </c:pt>
                <c:pt idx="216">
                  <c:v>53.8</c:v>
                </c:pt>
                <c:pt idx="217">
                  <c:v>53.8</c:v>
                </c:pt>
                <c:pt idx="218">
                  <c:v>53.8</c:v>
                </c:pt>
                <c:pt idx="219">
                  <c:v>53.7</c:v>
                </c:pt>
                <c:pt idx="220">
                  <c:v>53.7</c:v>
                </c:pt>
                <c:pt idx="221">
                  <c:v>53.4</c:v>
                </c:pt>
                <c:pt idx="222">
                  <c:v>53.3</c:v>
                </c:pt>
                <c:pt idx="223">
                  <c:v>53.1</c:v>
                </c:pt>
                <c:pt idx="224">
                  <c:v>52.9</c:v>
                </c:pt>
                <c:pt idx="225">
                  <c:v>52.8</c:v>
                </c:pt>
                <c:pt idx="226">
                  <c:v>52.7</c:v>
                </c:pt>
                <c:pt idx="227">
                  <c:v>52.6</c:v>
                </c:pt>
                <c:pt idx="228">
                  <c:v>52.4</c:v>
                </c:pt>
                <c:pt idx="229">
                  <c:v>52.2</c:v>
                </c:pt>
                <c:pt idx="230">
                  <c:v>52</c:v>
                </c:pt>
                <c:pt idx="231">
                  <c:v>51.9</c:v>
                </c:pt>
                <c:pt idx="232">
                  <c:v>51.8</c:v>
                </c:pt>
                <c:pt idx="233">
                  <c:v>51.1</c:v>
                </c:pt>
                <c:pt idx="234">
                  <c:v>51.3</c:v>
                </c:pt>
                <c:pt idx="235">
                  <c:v>51.7</c:v>
                </c:pt>
                <c:pt idx="236">
                  <c:v>51.9</c:v>
                </c:pt>
                <c:pt idx="237">
                  <c:v>52.2</c:v>
                </c:pt>
                <c:pt idx="238">
                  <c:v>52.4</c:v>
                </c:pt>
                <c:pt idx="239">
                  <c:v>52.5</c:v>
                </c:pt>
                <c:pt idx="240">
                  <c:v>52.6</c:v>
                </c:pt>
                <c:pt idx="241">
                  <c:v>52.7</c:v>
                </c:pt>
                <c:pt idx="242">
                  <c:v>52.8</c:v>
                </c:pt>
                <c:pt idx="243">
                  <c:v>52.9</c:v>
                </c:pt>
                <c:pt idx="244">
                  <c:v>53</c:v>
                </c:pt>
                <c:pt idx="245">
                  <c:v>53.1</c:v>
                </c:pt>
                <c:pt idx="246">
                  <c:v>53.3</c:v>
                </c:pt>
                <c:pt idx="247">
                  <c:v>53.5</c:v>
                </c:pt>
                <c:pt idx="248">
                  <c:v>53.6</c:v>
                </c:pt>
                <c:pt idx="249">
                  <c:v>53.7</c:v>
                </c:pt>
                <c:pt idx="250">
                  <c:v>53.7</c:v>
                </c:pt>
                <c:pt idx="251">
                  <c:v>53.7</c:v>
                </c:pt>
                <c:pt idx="252">
                  <c:v>53.8</c:v>
                </c:pt>
                <c:pt idx="253">
                  <c:v>54.1</c:v>
                </c:pt>
                <c:pt idx="254">
                  <c:v>54.5</c:v>
                </c:pt>
                <c:pt idx="255">
                  <c:v>54.4</c:v>
                </c:pt>
                <c:pt idx="256">
                  <c:v>54.9</c:v>
                </c:pt>
                <c:pt idx="257">
                  <c:v>54.1</c:v>
                </c:pt>
                <c:pt idx="258">
                  <c:v>54.6</c:v>
                </c:pt>
                <c:pt idx="259">
                  <c:v>54.7</c:v>
                </c:pt>
                <c:pt idx="260">
                  <c:v>54.5</c:v>
                </c:pt>
                <c:pt idx="261">
                  <c:v>54.3</c:v>
                </c:pt>
                <c:pt idx="262">
                  <c:v>54.2</c:v>
                </c:pt>
                <c:pt idx="263">
                  <c:v>54</c:v>
                </c:pt>
                <c:pt idx="264">
                  <c:v>53.8</c:v>
                </c:pt>
                <c:pt idx="265">
                  <c:v>53.7</c:v>
                </c:pt>
                <c:pt idx="266">
                  <c:v>53.5</c:v>
                </c:pt>
                <c:pt idx="267">
                  <c:v>53.3</c:v>
                </c:pt>
                <c:pt idx="268">
                  <c:v>53.2</c:v>
                </c:pt>
                <c:pt idx="269">
                  <c:v>53.1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A3-4164-8654-C1B0D2D61C66}"/>
            </c:ext>
          </c:extLst>
        </c:ser>
        <c:ser>
          <c:idx val="1"/>
          <c:order val="1"/>
          <c:tx>
            <c:strRef>
              <c:f>'Parámetros proceso'!$F$1:$I$1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proceso'!$A$3:$A$332</c:f>
              <c:numCache>
                <c:formatCode>General</c:formatCode>
                <c:ptCount val="3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</c:numCache>
            </c:numRef>
          </c:xVal>
          <c:yVal>
            <c:numRef>
              <c:f>'Parámetros proceso'!$H$3:$H$332</c:f>
              <c:numCache>
                <c:formatCode>General</c:formatCode>
                <c:ptCount val="330"/>
                <c:pt idx="0">
                  <c:v>48.9</c:v>
                </c:pt>
                <c:pt idx="1">
                  <c:v>49.1</c:v>
                </c:pt>
                <c:pt idx="2">
                  <c:v>49.1</c:v>
                </c:pt>
                <c:pt idx="3">
                  <c:v>49.3</c:v>
                </c:pt>
                <c:pt idx="4">
                  <c:v>49.5</c:v>
                </c:pt>
                <c:pt idx="5">
                  <c:v>49.5</c:v>
                </c:pt>
                <c:pt idx="6">
                  <c:v>49.5</c:v>
                </c:pt>
                <c:pt idx="7">
                  <c:v>49.7</c:v>
                </c:pt>
                <c:pt idx="8">
                  <c:v>50</c:v>
                </c:pt>
                <c:pt idx="9">
                  <c:v>50.2</c:v>
                </c:pt>
                <c:pt idx="10">
                  <c:v>50.6</c:v>
                </c:pt>
                <c:pt idx="11">
                  <c:v>51</c:v>
                </c:pt>
                <c:pt idx="12">
                  <c:v>51.3</c:v>
                </c:pt>
                <c:pt idx="13">
                  <c:v>50.9</c:v>
                </c:pt>
                <c:pt idx="14">
                  <c:v>17.3</c:v>
                </c:pt>
                <c:pt idx="15">
                  <c:v>21</c:v>
                </c:pt>
                <c:pt idx="16">
                  <c:v>26.3</c:v>
                </c:pt>
                <c:pt idx="17">
                  <c:v>30.2</c:v>
                </c:pt>
                <c:pt idx="18">
                  <c:v>32.799999999999997</c:v>
                </c:pt>
                <c:pt idx="19">
                  <c:v>34.4</c:v>
                </c:pt>
                <c:pt idx="20">
                  <c:v>35.6</c:v>
                </c:pt>
                <c:pt idx="21">
                  <c:v>36.6</c:v>
                </c:pt>
                <c:pt idx="22">
                  <c:v>37.6</c:v>
                </c:pt>
                <c:pt idx="23">
                  <c:v>38.5</c:v>
                </c:pt>
                <c:pt idx="24">
                  <c:v>39.299999999999997</c:v>
                </c:pt>
                <c:pt idx="25">
                  <c:v>40</c:v>
                </c:pt>
                <c:pt idx="26">
                  <c:v>40.799999999999997</c:v>
                </c:pt>
                <c:pt idx="27">
                  <c:v>41.6</c:v>
                </c:pt>
                <c:pt idx="28">
                  <c:v>42.7</c:v>
                </c:pt>
                <c:pt idx="29">
                  <c:v>44</c:v>
                </c:pt>
                <c:pt idx="30">
                  <c:v>45.1</c:v>
                </c:pt>
                <c:pt idx="31">
                  <c:v>46.4</c:v>
                </c:pt>
                <c:pt idx="32">
                  <c:v>47.2</c:v>
                </c:pt>
                <c:pt idx="33">
                  <c:v>47.6</c:v>
                </c:pt>
                <c:pt idx="34">
                  <c:v>48.1</c:v>
                </c:pt>
                <c:pt idx="35">
                  <c:v>47.4</c:v>
                </c:pt>
                <c:pt idx="36">
                  <c:v>47.7</c:v>
                </c:pt>
                <c:pt idx="37">
                  <c:v>48</c:v>
                </c:pt>
                <c:pt idx="38">
                  <c:v>48.1</c:v>
                </c:pt>
                <c:pt idx="39">
                  <c:v>48.4</c:v>
                </c:pt>
                <c:pt idx="40">
                  <c:v>34.9</c:v>
                </c:pt>
                <c:pt idx="41">
                  <c:v>46</c:v>
                </c:pt>
                <c:pt idx="42">
                  <c:v>48.7</c:v>
                </c:pt>
                <c:pt idx="43">
                  <c:v>48.8</c:v>
                </c:pt>
                <c:pt idx="44">
                  <c:v>49</c:v>
                </c:pt>
                <c:pt idx="45">
                  <c:v>49.7</c:v>
                </c:pt>
                <c:pt idx="46">
                  <c:v>49.1</c:v>
                </c:pt>
                <c:pt idx="47">
                  <c:v>49.1</c:v>
                </c:pt>
                <c:pt idx="48">
                  <c:v>47.9</c:v>
                </c:pt>
                <c:pt idx="49">
                  <c:v>47.5</c:v>
                </c:pt>
                <c:pt idx="50">
                  <c:v>47.6</c:v>
                </c:pt>
                <c:pt idx="51">
                  <c:v>47.7</c:v>
                </c:pt>
                <c:pt idx="52">
                  <c:v>47.9</c:v>
                </c:pt>
                <c:pt idx="53">
                  <c:v>48.1</c:v>
                </c:pt>
                <c:pt idx="54">
                  <c:v>48.1</c:v>
                </c:pt>
                <c:pt idx="55">
                  <c:v>48.2</c:v>
                </c:pt>
                <c:pt idx="56">
                  <c:v>48.3</c:v>
                </c:pt>
                <c:pt idx="57">
                  <c:v>48.4</c:v>
                </c:pt>
                <c:pt idx="58">
                  <c:v>48.4</c:v>
                </c:pt>
                <c:pt idx="59">
                  <c:v>48.6</c:v>
                </c:pt>
                <c:pt idx="60">
                  <c:v>48.7</c:v>
                </c:pt>
                <c:pt idx="61">
                  <c:v>49.3</c:v>
                </c:pt>
                <c:pt idx="62">
                  <c:v>49.1</c:v>
                </c:pt>
                <c:pt idx="63">
                  <c:v>48.8</c:v>
                </c:pt>
                <c:pt idx="64">
                  <c:v>48.6</c:v>
                </c:pt>
                <c:pt idx="65">
                  <c:v>48.3</c:v>
                </c:pt>
                <c:pt idx="66">
                  <c:v>48</c:v>
                </c:pt>
                <c:pt idx="67">
                  <c:v>47.7</c:v>
                </c:pt>
                <c:pt idx="68">
                  <c:v>47.5</c:v>
                </c:pt>
                <c:pt idx="69">
                  <c:v>47.3</c:v>
                </c:pt>
                <c:pt idx="70">
                  <c:v>47.1</c:v>
                </c:pt>
                <c:pt idx="71">
                  <c:v>46.9</c:v>
                </c:pt>
                <c:pt idx="72">
                  <c:v>46.7</c:v>
                </c:pt>
                <c:pt idx="73">
                  <c:v>46.7</c:v>
                </c:pt>
                <c:pt idx="74">
                  <c:v>46.5</c:v>
                </c:pt>
                <c:pt idx="75">
                  <c:v>46.6</c:v>
                </c:pt>
                <c:pt idx="76">
                  <c:v>46.9</c:v>
                </c:pt>
                <c:pt idx="77">
                  <c:v>47.2</c:v>
                </c:pt>
                <c:pt idx="78">
                  <c:v>47.5</c:v>
                </c:pt>
                <c:pt idx="79">
                  <c:v>47.9</c:v>
                </c:pt>
                <c:pt idx="80">
                  <c:v>48.3</c:v>
                </c:pt>
                <c:pt idx="81">
                  <c:v>48.6</c:v>
                </c:pt>
                <c:pt idx="82">
                  <c:v>48.8</c:v>
                </c:pt>
                <c:pt idx="83">
                  <c:v>48.9</c:v>
                </c:pt>
                <c:pt idx="84">
                  <c:v>49.2</c:v>
                </c:pt>
                <c:pt idx="85">
                  <c:v>49.3</c:v>
                </c:pt>
                <c:pt idx="86">
                  <c:v>49.5</c:v>
                </c:pt>
                <c:pt idx="87">
                  <c:v>49.7</c:v>
                </c:pt>
                <c:pt idx="88">
                  <c:v>49.8</c:v>
                </c:pt>
                <c:pt idx="89">
                  <c:v>50</c:v>
                </c:pt>
                <c:pt idx="90">
                  <c:v>49.2</c:v>
                </c:pt>
                <c:pt idx="91">
                  <c:v>48.9</c:v>
                </c:pt>
                <c:pt idx="92">
                  <c:v>48.7</c:v>
                </c:pt>
                <c:pt idx="93">
                  <c:v>48.5</c:v>
                </c:pt>
                <c:pt idx="94">
                  <c:v>48.4</c:v>
                </c:pt>
                <c:pt idx="95">
                  <c:v>48.4</c:v>
                </c:pt>
                <c:pt idx="96">
                  <c:v>48.5</c:v>
                </c:pt>
                <c:pt idx="97">
                  <c:v>48.8</c:v>
                </c:pt>
                <c:pt idx="98">
                  <c:v>49.2</c:v>
                </c:pt>
                <c:pt idx="99">
                  <c:v>49.7</c:v>
                </c:pt>
                <c:pt idx="100">
                  <c:v>50</c:v>
                </c:pt>
                <c:pt idx="101">
                  <c:v>50.2</c:v>
                </c:pt>
                <c:pt idx="102">
                  <c:v>50</c:v>
                </c:pt>
                <c:pt idx="103">
                  <c:v>49.5</c:v>
                </c:pt>
                <c:pt idx="104">
                  <c:v>49</c:v>
                </c:pt>
                <c:pt idx="105">
                  <c:v>48.7</c:v>
                </c:pt>
                <c:pt idx="106">
                  <c:v>48.6</c:v>
                </c:pt>
                <c:pt idx="107">
                  <c:v>48.3</c:v>
                </c:pt>
                <c:pt idx="108">
                  <c:v>48</c:v>
                </c:pt>
                <c:pt idx="109">
                  <c:v>47.8</c:v>
                </c:pt>
                <c:pt idx="110">
                  <c:v>47.6</c:v>
                </c:pt>
                <c:pt idx="111">
                  <c:v>47.3</c:v>
                </c:pt>
                <c:pt idx="112">
                  <c:v>47.1</c:v>
                </c:pt>
                <c:pt idx="113">
                  <c:v>46.9</c:v>
                </c:pt>
                <c:pt idx="114">
                  <c:v>46.6</c:v>
                </c:pt>
                <c:pt idx="115">
                  <c:v>46.3</c:v>
                </c:pt>
                <c:pt idx="116">
                  <c:v>46.1</c:v>
                </c:pt>
                <c:pt idx="117">
                  <c:v>46</c:v>
                </c:pt>
                <c:pt idx="118">
                  <c:v>45.8</c:v>
                </c:pt>
                <c:pt idx="119">
                  <c:v>45.8</c:v>
                </c:pt>
                <c:pt idx="120">
                  <c:v>46</c:v>
                </c:pt>
                <c:pt idx="121">
                  <c:v>46.2</c:v>
                </c:pt>
                <c:pt idx="122">
                  <c:v>46.2</c:v>
                </c:pt>
                <c:pt idx="123">
                  <c:v>47.6</c:v>
                </c:pt>
                <c:pt idx="124">
                  <c:v>48.7</c:v>
                </c:pt>
                <c:pt idx="125">
                  <c:v>49.8</c:v>
                </c:pt>
                <c:pt idx="126">
                  <c:v>50.4</c:v>
                </c:pt>
                <c:pt idx="127">
                  <c:v>50.6</c:v>
                </c:pt>
                <c:pt idx="128">
                  <c:v>52.9</c:v>
                </c:pt>
                <c:pt idx="129">
                  <c:v>53.7</c:v>
                </c:pt>
                <c:pt idx="130">
                  <c:v>53.9</c:v>
                </c:pt>
                <c:pt idx="131">
                  <c:v>53.5</c:v>
                </c:pt>
                <c:pt idx="132">
                  <c:v>53.3</c:v>
                </c:pt>
                <c:pt idx="133">
                  <c:v>53.4</c:v>
                </c:pt>
                <c:pt idx="134">
                  <c:v>53.6</c:v>
                </c:pt>
                <c:pt idx="135">
                  <c:v>53.9</c:v>
                </c:pt>
                <c:pt idx="136">
                  <c:v>54</c:v>
                </c:pt>
                <c:pt idx="137">
                  <c:v>54</c:v>
                </c:pt>
                <c:pt idx="138">
                  <c:v>53.6</c:v>
                </c:pt>
                <c:pt idx="139">
                  <c:v>53.5</c:v>
                </c:pt>
                <c:pt idx="140">
                  <c:v>54.1</c:v>
                </c:pt>
                <c:pt idx="141">
                  <c:v>53.6</c:v>
                </c:pt>
                <c:pt idx="142">
                  <c:v>53.3</c:v>
                </c:pt>
                <c:pt idx="143">
                  <c:v>54</c:v>
                </c:pt>
                <c:pt idx="144">
                  <c:v>53.5</c:v>
                </c:pt>
                <c:pt idx="145">
                  <c:v>54.3</c:v>
                </c:pt>
                <c:pt idx="146">
                  <c:v>53.8</c:v>
                </c:pt>
                <c:pt idx="147">
                  <c:v>53.9</c:v>
                </c:pt>
                <c:pt idx="148">
                  <c:v>53.8</c:v>
                </c:pt>
                <c:pt idx="149">
                  <c:v>54.3</c:v>
                </c:pt>
                <c:pt idx="150">
                  <c:v>53.6</c:v>
                </c:pt>
                <c:pt idx="151">
                  <c:v>54.2</c:v>
                </c:pt>
                <c:pt idx="152">
                  <c:v>54.5</c:v>
                </c:pt>
                <c:pt idx="153">
                  <c:v>53.8</c:v>
                </c:pt>
                <c:pt idx="154">
                  <c:v>53.7</c:v>
                </c:pt>
                <c:pt idx="155">
                  <c:v>54</c:v>
                </c:pt>
                <c:pt idx="156">
                  <c:v>54</c:v>
                </c:pt>
                <c:pt idx="157">
                  <c:v>53.9</c:v>
                </c:pt>
                <c:pt idx="158">
                  <c:v>53.7</c:v>
                </c:pt>
                <c:pt idx="159">
                  <c:v>53.6</c:v>
                </c:pt>
                <c:pt idx="160">
                  <c:v>53.6</c:v>
                </c:pt>
                <c:pt idx="161">
                  <c:v>53.6</c:v>
                </c:pt>
                <c:pt idx="162">
                  <c:v>53.6</c:v>
                </c:pt>
                <c:pt idx="163">
                  <c:v>53.7</c:v>
                </c:pt>
                <c:pt idx="164">
                  <c:v>53.9</c:v>
                </c:pt>
                <c:pt idx="165">
                  <c:v>54.1</c:v>
                </c:pt>
                <c:pt idx="166">
                  <c:v>54.3</c:v>
                </c:pt>
                <c:pt idx="167">
                  <c:v>54.5</c:v>
                </c:pt>
                <c:pt idx="168">
                  <c:v>53.6</c:v>
                </c:pt>
                <c:pt idx="169">
                  <c:v>54.2</c:v>
                </c:pt>
                <c:pt idx="170">
                  <c:v>54.6</c:v>
                </c:pt>
                <c:pt idx="171">
                  <c:v>54.7</c:v>
                </c:pt>
                <c:pt idx="172">
                  <c:v>54.7</c:v>
                </c:pt>
                <c:pt idx="173">
                  <c:v>54</c:v>
                </c:pt>
                <c:pt idx="174">
                  <c:v>54.6</c:v>
                </c:pt>
                <c:pt idx="175">
                  <c:v>54.9</c:v>
                </c:pt>
                <c:pt idx="176">
                  <c:v>53.9</c:v>
                </c:pt>
                <c:pt idx="177">
                  <c:v>54.6</c:v>
                </c:pt>
                <c:pt idx="178">
                  <c:v>54.9</c:v>
                </c:pt>
                <c:pt idx="179">
                  <c:v>54</c:v>
                </c:pt>
                <c:pt idx="180">
                  <c:v>54.6</c:v>
                </c:pt>
                <c:pt idx="181">
                  <c:v>54.5</c:v>
                </c:pt>
                <c:pt idx="182">
                  <c:v>54.4</c:v>
                </c:pt>
                <c:pt idx="183">
                  <c:v>53.9</c:v>
                </c:pt>
                <c:pt idx="184">
                  <c:v>54.8</c:v>
                </c:pt>
                <c:pt idx="185">
                  <c:v>54.2</c:v>
                </c:pt>
                <c:pt idx="186">
                  <c:v>54</c:v>
                </c:pt>
                <c:pt idx="187">
                  <c:v>55</c:v>
                </c:pt>
                <c:pt idx="188">
                  <c:v>54.3</c:v>
                </c:pt>
                <c:pt idx="189">
                  <c:v>54.8</c:v>
                </c:pt>
                <c:pt idx="190">
                  <c:v>54.6</c:v>
                </c:pt>
                <c:pt idx="191">
                  <c:v>55.2</c:v>
                </c:pt>
                <c:pt idx="192">
                  <c:v>54.3</c:v>
                </c:pt>
                <c:pt idx="193">
                  <c:v>55</c:v>
                </c:pt>
                <c:pt idx="194">
                  <c:v>54.9</c:v>
                </c:pt>
                <c:pt idx="195">
                  <c:v>54.5</c:v>
                </c:pt>
                <c:pt idx="196">
                  <c:v>54.9</c:v>
                </c:pt>
                <c:pt idx="197">
                  <c:v>55</c:v>
                </c:pt>
                <c:pt idx="198">
                  <c:v>54.9</c:v>
                </c:pt>
                <c:pt idx="199">
                  <c:v>54.8</c:v>
                </c:pt>
                <c:pt idx="200">
                  <c:v>54.6</c:v>
                </c:pt>
                <c:pt idx="201">
                  <c:v>54.4</c:v>
                </c:pt>
                <c:pt idx="202">
                  <c:v>54.3</c:v>
                </c:pt>
                <c:pt idx="203">
                  <c:v>54.3</c:v>
                </c:pt>
                <c:pt idx="204">
                  <c:v>54</c:v>
                </c:pt>
                <c:pt idx="205">
                  <c:v>53.7</c:v>
                </c:pt>
                <c:pt idx="206">
                  <c:v>53.6</c:v>
                </c:pt>
                <c:pt idx="207">
                  <c:v>53.5</c:v>
                </c:pt>
                <c:pt idx="208">
                  <c:v>53.6</c:v>
                </c:pt>
                <c:pt idx="209">
                  <c:v>53.7</c:v>
                </c:pt>
                <c:pt idx="210">
                  <c:v>53.9</c:v>
                </c:pt>
                <c:pt idx="211">
                  <c:v>54.1</c:v>
                </c:pt>
                <c:pt idx="212">
                  <c:v>54.3</c:v>
                </c:pt>
                <c:pt idx="213">
                  <c:v>54.3</c:v>
                </c:pt>
                <c:pt idx="214">
                  <c:v>54.5</c:v>
                </c:pt>
                <c:pt idx="215">
                  <c:v>54.6</c:v>
                </c:pt>
                <c:pt idx="216">
                  <c:v>54.7</c:v>
                </c:pt>
                <c:pt idx="217">
                  <c:v>54.8</c:v>
                </c:pt>
                <c:pt idx="218">
                  <c:v>54.8</c:v>
                </c:pt>
                <c:pt idx="219">
                  <c:v>54.9</c:v>
                </c:pt>
                <c:pt idx="220">
                  <c:v>54.9</c:v>
                </c:pt>
                <c:pt idx="221">
                  <c:v>55</c:v>
                </c:pt>
                <c:pt idx="222">
                  <c:v>55</c:v>
                </c:pt>
                <c:pt idx="223">
                  <c:v>55</c:v>
                </c:pt>
                <c:pt idx="224">
                  <c:v>55</c:v>
                </c:pt>
                <c:pt idx="225">
                  <c:v>55.2</c:v>
                </c:pt>
                <c:pt idx="226">
                  <c:v>54.3</c:v>
                </c:pt>
                <c:pt idx="227">
                  <c:v>55.1</c:v>
                </c:pt>
                <c:pt idx="228">
                  <c:v>54.1</c:v>
                </c:pt>
                <c:pt idx="229">
                  <c:v>55.1</c:v>
                </c:pt>
                <c:pt idx="230">
                  <c:v>54.4</c:v>
                </c:pt>
                <c:pt idx="231">
                  <c:v>54.5</c:v>
                </c:pt>
                <c:pt idx="232">
                  <c:v>54.6</c:v>
                </c:pt>
                <c:pt idx="233">
                  <c:v>55.1</c:v>
                </c:pt>
                <c:pt idx="234">
                  <c:v>54.9</c:v>
                </c:pt>
                <c:pt idx="235">
                  <c:v>55.4</c:v>
                </c:pt>
                <c:pt idx="236">
                  <c:v>54.9</c:v>
                </c:pt>
                <c:pt idx="237">
                  <c:v>54.1</c:v>
                </c:pt>
                <c:pt idx="238">
                  <c:v>53.6</c:v>
                </c:pt>
                <c:pt idx="239">
                  <c:v>53.2</c:v>
                </c:pt>
                <c:pt idx="240">
                  <c:v>53</c:v>
                </c:pt>
                <c:pt idx="241">
                  <c:v>52.9</c:v>
                </c:pt>
                <c:pt idx="242">
                  <c:v>53</c:v>
                </c:pt>
                <c:pt idx="243">
                  <c:v>53.6</c:v>
                </c:pt>
                <c:pt idx="244">
                  <c:v>53.7</c:v>
                </c:pt>
                <c:pt idx="245">
                  <c:v>53.7</c:v>
                </c:pt>
                <c:pt idx="246">
                  <c:v>53.6</c:v>
                </c:pt>
                <c:pt idx="247">
                  <c:v>53.4</c:v>
                </c:pt>
                <c:pt idx="248">
                  <c:v>53.3</c:v>
                </c:pt>
                <c:pt idx="249">
                  <c:v>53.2</c:v>
                </c:pt>
                <c:pt idx="250">
                  <c:v>53</c:v>
                </c:pt>
                <c:pt idx="251">
                  <c:v>52.8</c:v>
                </c:pt>
                <c:pt idx="252">
                  <c:v>52.8</c:v>
                </c:pt>
                <c:pt idx="253">
                  <c:v>52.9</c:v>
                </c:pt>
                <c:pt idx="254">
                  <c:v>53.1</c:v>
                </c:pt>
                <c:pt idx="255">
                  <c:v>53.3</c:v>
                </c:pt>
                <c:pt idx="256">
                  <c:v>53.4</c:v>
                </c:pt>
                <c:pt idx="257">
                  <c:v>53.6</c:v>
                </c:pt>
                <c:pt idx="258">
                  <c:v>53.6</c:v>
                </c:pt>
                <c:pt idx="259">
                  <c:v>53.7</c:v>
                </c:pt>
                <c:pt idx="260">
                  <c:v>53.8</c:v>
                </c:pt>
                <c:pt idx="261">
                  <c:v>53.8</c:v>
                </c:pt>
                <c:pt idx="262">
                  <c:v>53.8</c:v>
                </c:pt>
                <c:pt idx="263">
                  <c:v>53.9</c:v>
                </c:pt>
                <c:pt idx="264">
                  <c:v>53.9</c:v>
                </c:pt>
                <c:pt idx="265">
                  <c:v>54</c:v>
                </c:pt>
                <c:pt idx="266">
                  <c:v>54.1</c:v>
                </c:pt>
                <c:pt idx="267">
                  <c:v>54.1</c:v>
                </c:pt>
                <c:pt idx="268">
                  <c:v>54.2</c:v>
                </c:pt>
                <c:pt idx="269">
                  <c:v>54.3</c:v>
                </c:pt>
                <c:pt idx="270">
                  <c:v>54.3</c:v>
                </c:pt>
                <c:pt idx="271">
                  <c:v>54.4</c:v>
                </c:pt>
                <c:pt idx="272">
                  <c:v>54.5</c:v>
                </c:pt>
                <c:pt idx="273">
                  <c:v>54.7</c:v>
                </c:pt>
                <c:pt idx="274">
                  <c:v>55</c:v>
                </c:pt>
                <c:pt idx="275">
                  <c:v>54.3</c:v>
                </c:pt>
                <c:pt idx="276">
                  <c:v>54.6</c:v>
                </c:pt>
                <c:pt idx="277">
                  <c:v>54.7</c:v>
                </c:pt>
                <c:pt idx="278">
                  <c:v>54.9</c:v>
                </c:pt>
                <c:pt idx="279">
                  <c:v>55.4</c:v>
                </c:pt>
                <c:pt idx="280">
                  <c:v>55.3</c:v>
                </c:pt>
                <c:pt idx="281">
                  <c:v>55.1</c:v>
                </c:pt>
                <c:pt idx="282">
                  <c:v>55</c:v>
                </c:pt>
                <c:pt idx="283">
                  <c:v>54.9</c:v>
                </c:pt>
                <c:pt idx="284">
                  <c:v>54.9</c:v>
                </c:pt>
                <c:pt idx="285">
                  <c:v>54.8</c:v>
                </c:pt>
                <c:pt idx="286">
                  <c:v>54.7</c:v>
                </c:pt>
                <c:pt idx="287">
                  <c:v>54.7</c:v>
                </c:pt>
                <c:pt idx="288">
                  <c:v>54.6</c:v>
                </c:pt>
                <c:pt idx="289">
                  <c:v>54.5</c:v>
                </c:pt>
                <c:pt idx="290">
                  <c:v>54.3</c:v>
                </c:pt>
                <c:pt idx="291">
                  <c:v>54.2</c:v>
                </c:pt>
                <c:pt idx="292">
                  <c:v>54.2</c:v>
                </c:pt>
                <c:pt idx="293">
                  <c:v>53.9</c:v>
                </c:pt>
                <c:pt idx="294">
                  <c:v>53.7</c:v>
                </c:pt>
                <c:pt idx="295">
                  <c:v>53.6</c:v>
                </c:pt>
                <c:pt idx="296">
                  <c:v>53.3</c:v>
                </c:pt>
                <c:pt idx="297">
                  <c:v>52.9</c:v>
                </c:pt>
                <c:pt idx="298">
                  <c:v>52.9</c:v>
                </c:pt>
                <c:pt idx="299">
                  <c:v>53.2</c:v>
                </c:pt>
                <c:pt idx="300">
                  <c:v>53.4</c:v>
                </c:pt>
                <c:pt idx="301">
                  <c:v>53.8</c:v>
                </c:pt>
                <c:pt idx="302">
                  <c:v>32.299999999999997</c:v>
                </c:pt>
                <c:pt idx="303">
                  <c:v>44.3</c:v>
                </c:pt>
                <c:pt idx="304">
                  <c:v>52.4</c:v>
                </c:pt>
                <c:pt idx="305">
                  <c:v>53.5</c:v>
                </c:pt>
                <c:pt idx="306">
                  <c:v>53.6</c:v>
                </c:pt>
                <c:pt idx="307">
                  <c:v>53.5</c:v>
                </c:pt>
                <c:pt idx="308">
                  <c:v>52.8</c:v>
                </c:pt>
                <c:pt idx="309">
                  <c:v>52.6</c:v>
                </c:pt>
                <c:pt idx="310">
                  <c:v>51.1</c:v>
                </c:pt>
                <c:pt idx="311">
                  <c:v>50.6</c:v>
                </c:pt>
                <c:pt idx="312">
                  <c:v>50.8</c:v>
                </c:pt>
                <c:pt idx="313">
                  <c:v>51.2</c:v>
                </c:pt>
                <c:pt idx="314">
                  <c:v>51.6</c:v>
                </c:pt>
                <c:pt idx="315">
                  <c:v>51.6</c:v>
                </c:pt>
                <c:pt idx="316">
                  <c:v>51.8</c:v>
                </c:pt>
                <c:pt idx="317">
                  <c:v>52.1</c:v>
                </c:pt>
                <c:pt idx="318">
                  <c:v>52.1</c:v>
                </c:pt>
                <c:pt idx="319">
                  <c:v>52.1</c:v>
                </c:pt>
                <c:pt idx="320">
                  <c:v>52.1</c:v>
                </c:pt>
                <c:pt idx="321">
                  <c:v>52.3</c:v>
                </c:pt>
                <c:pt idx="322">
                  <c:v>52.2</c:v>
                </c:pt>
                <c:pt idx="323">
                  <c:v>52.2</c:v>
                </c:pt>
                <c:pt idx="324">
                  <c:v>51.6</c:v>
                </c:pt>
                <c:pt idx="325">
                  <c:v>53.8</c:v>
                </c:pt>
                <c:pt idx="326">
                  <c:v>54.5</c:v>
                </c:pt>
                <c:pt idx="327">
                  <c:v>54.5</c:v>
                </c:pt>
                <c:pt idx="328">
                  <c:v>55.6</c:v>
                </c:pt>
                <c:pt idx="329">
                  <c:v>55.4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A3-4164-8654-C1B0D2D61C66}"/>
            </c:ext>
          </c:extLst>
        </c:ser>
        <c:ser>
          <c:idx val="2"/>
          <c:order val="2"/>
          <c:tx>
            <c:strRef>
              <c:f>'Parámetros proceso'!$J$1:$M$1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proceso'!$A$3:$A$233</c:f>
              <c:numCache>
                <c:formatCode>General</c:formatCode>
                <c:ptCount val="2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</c:numCache>
            </c:numRef>
          </c:xVal>
          <c:yVal>
            <c:numRef>
              <c:f>'Parámetros proceso'!$L$3:$L$233</c:f>
              <c:numCache>
                <c:formatCode>General</c:formatCode>
                <c:ptCount val="231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19.8</c:v>
                </c:pt>
                <c:pt idx="8">
                  <c:v>36.1</c:v>
                </c:pt>
                <c:pt idx="9">
                  <c:v>45.1</c:v>
                </c:pt>
                <c:pt idx="10">
                  <c:v>46.9</c:v>
                </c:pt>
                <c:pt idx="11">
                  <c:v>46.7</c:v>
                </c:pt>
                <c:pt idx="12">
                  <c:v>47.3</c:v>
                </c:pt>
                <c:pt idx="13">
                  <c:v>48.5</c:v>
                </c:pt>
                <c:pt idx="14">
                  <c:v>45.9</c:v>
                </c:pt>
                <c:pt idx="15">
                  <c:v>45.9</c:v>
                </c:pt>
                <c:pt idx="16">
                  <c:v>45.1</c:v>
                </c:pt>
                <c:pt idx="17">
                  <c:v>45.3</c:v>
                </c:pt>
                <c:pt idx="18">
                  <c:v>45.9</c:v>
                </c:pt>
                <c:pt idx="19">
                  <c:v>45.3</c:v>
                </c:pt>
                <c:pt idx="20">
                  <c:v>46.8</c:v>
                </c:pt>
                <c:pt idx="21">
                  <c:v>46</c:v>
                </c:pt>
                <c:pt idx="22">
                  <c:v>46.9</c:v>
                </c:pt>
                <c:pt idx="23">
                  <c:v>46.2</c:v>
                </c:pt>
                <c:pt idx="24">
                  <c:v>47.2</c:v>
                </c:pt>
                <c:pt idx="25">
                  <c:v>46.7</c:v>
                </c:pt>
                <c:pt idx="26">
                  <c:v>46.3</c:v>
                </c:pt>
                <c:pt idx="27">
                  <c:v>46.6</c:v>
                </c:pt>
                <c:pt idx="28">
                  <c:v>47.1</c:v>
                </c:pt>
                <c:pt idx="29">
                  <c:v>47.3</c:v>
                </c:pt>
                <c:pt idx="30">
                  <c:v>46.9</c:v>
                </c:pt>
                <c:pt idx="31">
                  <c:v>46.7</c:v>
                </c:pt>
                <c:pt idx="32">
                  <c:v>46.7</c:v>
                </c:pt>
                <c:pt idx="33">
                  <c:v>46.6</c:v>
                </c:pt>
                <c:pt idx="34">
                  <c:v>46.7</c:v>
                </c:pt>
                <c:pt idx="35">
                  <c:v>47.1</c:v>
                </c:pt>
                <c:pt idx="36">
                  <c:v>47.5</c:v>
                </c:pt>
                <c:pt idx="37">
                  <c:v>47.7</c:v>
                </c:pt>
                <c:pt idx="38">
                  <c:v>47.7</c:v>
                </c:pt>
                <c:pt idx="39">
                  <c:v>47.6</c:v>
                </c:pt>
                <c:pt idx="40">
                  <c:v>47.7</c:v>
                </c:pt>
                <c:pt idx="41">
                  <c:v>47.3</c:v>
                </c:pt>
                <c:pt idx="42">
                  <c:v>47.5</c:v>
                </c:pt>
                <c:pt idx="43">
                  <c:v>47.4</c:v>
                </c:pt>
                <c:pt idx="44">
                  <c:v>47.5</c:v>
                </c:pt>
                <c:pt idx="45">
                  <c:v>47.5</c:v>
                </c:pt>
                <c:pt idx="46">
                  <c:v>47.6</c:v>
                </c:pt>
                <c:pt idx="47">
                  <c:v>47.6</c:v>
                </c:pt>
                <c:pt idx="48">
                  <c:v>47.8</c:v>
                </c:pt>
                <c:pt idx="49">
                  <c:v>47.9</c:v>
                </c:pt>
                <c:pt idx="50">
                  <c:v>47.9</c:v>
                </c:pt>
                <c:pt idx="51">
                  <c:v>48.1</c:v>
                </c:pt>
                <c:pt idx="52">
                  <c:v>48.5</c:v>
                </c:pt>
                <c:pt idx="53">
                  <c:v>48.6</c:v>
                </c:pt>
                <c:pt idx="54">
                  <c:v>48.6</c:v>
                </c:pt>
                <c:pt idx="55">
                  <c:v>48.8</c:v>
                </c:pt>
                <c:pt idx="56">
                  <c:v>48.7</c:v>
                </c:pt>
                <c:pt idx="57">
                  <c:v>48.7</c:v>
                </c:pt>
                <c:pt idx="58">
                  <c:v>48.6</c:v>
                </c:pt>
                <c:pt idx="59">
                  <c:v>48.8</c:v>
                </c:pt>
                <c:pt idx="60">
                  <c:v>48.6</c:v>
                </c:pt>
                <c:pt idx="61">
                  <c:v>48.5</c:v>
                </c:pt>
                <c:pt idx="62">
                  <c:v>48.6</c:v>
                </c:pt>
                <c:pt idx="63">
                  <c:v>48.6</c:v>
                </c:pt>
                <c:pt idx="64">
                  <c:v>48.6</c:v>
                </c:pt>
                <c:pt idx="65">
                  <c:v>48.7</c:v>
                </c:pt>
                <c:pt idx="66">
                  <c:v>49.2</c:v>
                </c:pt>
                <c:pt idx="67">
                  <c:v>49.6</c:v>
                </c:pt>
                <c:pt idx="68">
                  <c:v>49.5</c:v>
                </c:pt>
                <c:pt idx="69">
                  <c:v>49.5</c:v>
                </c:pt>
                <c:pt idx="70">
                  <c:v>49.4</c:v>
                </c:pt>
                <c:pt idx="71">
                  <c:v>49.4</c:v>
                </c:pt>
                <c:pt idx="72">
                  <c:v>49.4</c:v>
                </c:pt>
                <c:pt idx="73">
                  <c:v>49.2</c:v>
                </c:pt>
                <c:pt idx="74">
                  <c:v>49.1</c:v>
                </c:pt>
                <c:pt idx="75">
                  <c:v>48.5</c:v>
                </c:pt>
                <c:pt idx="76">
                  <c:v>47.9</c:v>
                </c:pt>
                <c:pt idx="77">
                  <c:v>47.7</c:v>
                </c:pt>
                <c:pt idx="78">
                  <c:v>47.7</c:v>
                </c:pt>
                <c:pt idx="79">
                  <c:v>48</c:v>
                </c:pt>
                <c:pt idx="80">
                  <c:v>48.1</c:v>
                </c:pt>
                <c:pt idx="81">
                  <c:v>48.4</c:v>
                </c:pt>
                <c:pt idx="82">
                  <c:v>48.5</c:v>
                </c:pt>
                <c:pt idx="83">
                  <c:v>48.6</c:v>
                </c:pt>
                <c:pt idx="84">
                  <c:v>48.5</c:v>
                </c:pt>
                <c:pt idx="85">
                  <c:v>48.5</c:v>
                </c:pt>
                <c:pt idx="86">
                  <c:v>48.5</c:v>
                </c:pt>
                <c:pt idx="87">
                  <c:v>48.3</c:v>
                </c:pt>
                <c:pt idx="88">
                  <c:v>48.2</c:v>
                </c:pt>
                <c:pt idx="89">
                  <c:v>48.3</c:v>
                </c:pt>
                <c:pt idx="90">
                  <c:v>48.2</c:v>
                </c:pt>
                <c:pt idx="91">
                  <c:v>48</c:v>
                </c:pt>
                <c:pt idx="92">
                  <c:v>47.9</c:v>
                </c:pt>
                <c:pt idx="93">
                  <c:v>48</c:v>
                </c:pt>
                <c:pt idx="94">
                  <c:v>48.2</c:v>
                </c:pt>
                <c:pt idx="95">
                  <c:v>47.9</c:v>
                </c:pt>
                <c:pt idx="96">
                  <c:v>47.6</c:v>
                </c:pt>
                <c:pt idx="97">
                  <c:v>47.8</c:v>
                </c:pt>
                <c:pt idx="98">
                  <c:v>47.9</c:v>
                </c:pt>
                <c:pt idx="99">
                  <c:v>48.1</c:v>
                </c:pt>
                <c:pt idx="100">
                  <c:v>48.1</c:v>
                </c:pt>
                <c:pt idx="101">
                  <c:v>48</c:v>
                </c:pt>
                <c:pt idx="102">
                  <c:v>48.1</c:v>
                </c:pt>
                <c:pt idx="103">
                  <c:v>48</c:v>
                </c:pt>
                <c:pt idx="104">
                  <c:v>47.8</c:v>
                </c:pt>
                <c:pt idx="105">
                  <c:v>47.8</c:v>
                </c:pt>
                <c:pt idx="106">
                  <c:v>47.6</c:v>
                </c:pt>
                <c:pt idx="107">
                  <c:v>49</c:v>
                </c:pt>
                <c:pt idx="108">
                  <c:v>50.1</c:v>
                </c:pt>
                <c:pt idx="109">
                  <c:v>49.4</c:v>
                </c:pt>
                <c:pt idx="110">
                  <c:v>50.8</c:v>
                </c:pt>
                <c:pt idx="111">
                  <c:v>50.1</c:v>
                </c:pt>
                <c:pt idx="112">
                  <c:v>48.7</c:v>
                </c:pt>
                <c:pt idx="113">
                  <c:v>47.7</c:v>
                </c:pt>
                <c:pt idx="114">
                  <c:v>47.4</c:v>
                </c:pt>
                <c:pt idx="115">
                  <c:v>47.5</c:v>
                </c:pt>
                <c:pt idx="116">
                  <c:v>47.5</c:v>
                </c:pt>
                <c:pt idx="117">
                  <c:v>47.6</c:v>
                </c:pt>
                <c:pt idx="118">
                  <c:v>47.6</c:v>
                </c:pt>
                <c:pt idx="119">
                  <c:v>47.7</c:v>
                </c:pt>
                <c:pt idx="120">
                  <c:v>47.5</c:v>
                </c:pt>
                <c:pt idx="121">
                  <c:v>47.7</c:v>
                </c:pt>
                <c:pt idx="122">
                  <c:v>47.7</c:v>
                </c:pt>
                <c:pt idx="123">
                  <c:v>47.9</c:v>
                </c:pt>
                <c:pt idx="124">
                  <c:v>48.1</c:v>
                </c:pt>
                <c:pt idx="125">
                  <c:v>48.1</c:v>
                </c:pt>
                <c:pt idx="126">
                  <c:v>47.9</c:v>
                </c:pt>
                <c:pt idx="127">
                  <c:v>47.8</c:v>
                </c:pt>
                <c:pt idx="128">
                  <c:v>47.7</c:v>
                </c:pt>
                <c:pt idx="129">
                  <c:v>47.7</c:v>
                </c:pt>
                <c:pt idx="130">
                  <c:v>47.6</c:v>
                </c:pt>
                <c:pt idx="131">
                  <c:v>47.4</c:v>
                </c:pt>
                <c:pt idx="132">
                  <c:v>47.5</c:v>
                </c:pt>
                <c:pt idx="133">
                  <c:v>47.6</c:v>
                </c:pt>
                <c:pt idx="134">
                  <c:v>47.5</c:v>
                </c:pt>
                <c:pt idx="135">
                  <c:v>47.5</c:v>
                </c:pt>
                <c:pt idx="136">
                  <c:v>47.5</c:v>
                </c:pt>
                <c:pt idx="137">
                  <c:v>47.6</c:v>
                </c:pt>
                <c:pt idx="138">
                  <c:v>47.5</c:v>
                </c:pt>
                <c:pt idx="139">
                  <c:v>47.5</c:v>
                </c:pt>
                <c:pt idx="140">
                  <c:v>47.7</c:v>
                </c:pt>
                <c:pt idx="141">
                  <c:v>47.6</c:v>
                </c:pt>
                <c:pt idx="142">
                  <c:v>47.5</c:v>
                </c:pt>
                <c:pt idx="143">
                  <c:v>47.5</c:v>
                </c:pt>
                <c:pt idx="144">
                  <c:v>47.6</c:v>
                </c:pt>
                <c:pt idx="145">
                  <c:v>47.6</c:v>
                </c:pt>
                <c:pt idx="146">
                  <c:v>47.6</c:v>
                </c:pt>
                <c:pt idx="147">
                  <c:v>47.5</c:v>
                </c:pt>
                <c:pt idx="148">
                  <c:v>47.5</c:v>
                </c:pt>
                <c:pt idx="149">
                  <c:v>47.5</c:v>
                </c:pt>
                <c:pt idx="150">
                  <c:v>47.3</c:v>
                </c:pt>
                <c:pt idx="151">
                  <c:v>47.4</c:v>
                </c:pt>
                <c:pt idx="152">
                  <c:v>47.9</c:v>
                </c:pt>
                <c:pt idx="153">
                  <c:v>48.1</c:v>
                </c:pt>
                <c:pt idx="154">
                  <c:v>47.8</c:v>
                </c:pt>
                <c:pt idx="155">
                  <c:v>47.6</c:v>
                </c:pt>
                <c:pt idx="156">
                  <c:v>47.5</c:v>
                </c:pt>
                <c:pt idx="157">
                  <c:v>47.5</c:v>
                </c:pt>
                <c:pt idx="158">
                  <c:v>47.3</c:v>
                </c:pt>
                <c:pt idx="159">
                  <c:v>47.4</c:v>
                </c:pt>
                <c:pt idx="160">
                  <c:v>47.2</c:v>
                </c:pt>
                <c:pt idx="161">
                  <c:v>47.3</c:v>
                </c:pt>
                <c:pt idx="162">
                  <c:v>47.3</c:v>
                </c:pt>
                <c:pt idx="163">
                  <c:v>47.3</c:v>
                </c:pt>
                <c:pt idx="164">
                  <c:v>47.5</c:v>
                </c:pt>
                <c:pt idx="165">
                  <c:v>47.7</c:v>
                </c:pt>
                <c:pt idx="166">
                  <c:v>48</c:v>
                </c:pt>
                <c:pt idx="167">
                  <c:v>48.2</c:v>
                </c:pt>
                <c:pt idx="168">
                  <c:v>48.2</c:v>
                </c:pt>
                <c:pt idx="169">
                  <c:v>48.2</c:v>
                </c:pt>
                <c:pt idx="170">
                  <c:v>48.1</c:v>
                </c:pt>
                <c:pt idx="171">
                  <c:v>48</c:v>
                </c:pt>
                <c:pt idx="172">
                  <c:v>48.1</c:v>
                </c:pt>
                <c:pt idx="173">
                  <c:v>48.1</c:v>
                </c:pt>
                <c:pt idx="174">
                  <c:v>48.2</c:v>
                </c:pt>
                <c:pt idx="175">
                  <c:v>48.3</c:v>
                </c:pt>
                <c:pt idx="176">
                  <c:v>48.2</c:v>
                </c:pt>
                <c:pt idx="177">
                  <c:v>48.2</c:v>
                </c:pt>
                <c:pt idx="178">
                  <c:v>48</c:v>
                </c:pt>
                <c:pt idx="179">
                  <c:v>47.9</c:v>
                </c:pt>
                <c:pt idx="180">
                  <c:v>47.6</c:v>
                </c:pt>
                <c:pt idx="181">
                  <c:v>47.6</c:v>
                </c:pt>
                <c:pt idx="182">
                  <c:v>47.4</c:v>
                </c:pt>
                <c:pt idx="183">
                  <c:v>47.4</c:v>
                </c:pt>
                <c:pt idx="184">
                  <c:v>47.6</c:v>
                </c:pt>
                <c:pt idx="185">
                  <c:v>47.3</c:v>
                </c:pt>
                <c:pt idx="186">
                  <c:v>47.4</c:v>
                </c:pt>
                <c:pt idx="187">
                  <c:v>47.4</c:v>
                </c:pt>
                <c:pt idx="188">
                  <c:v>47.5</c:v>
                </c:pt>
                <c:pt idx="189">
                  <c:v>47.6</c:v>
                </c:pt>
                <c:pt idx="190">
                  <c:v>47.6</c:v>
                </c:pt>
                <c:pt idx="191">
                  <c:v>47.7</c:v>
                </c:pt>
                <c:pt idx="192">
                  <c:v>47.7</c:v>
                </c:pt>
                <c:pt idx="193">
                  <c:v>47.6</c:v>
                </c:pt>
                <c:pt idx="194">
                  <c:v>47.5</c:v>
                </c:pt>
                <c:pt idx="195">
                  <c:v>47.3</c:v>
                </c:pt>
                <c:pt idx="196">
                  <c:v>47.4</c:v>
                </c:pt>
                <c:pt idx="197">
                  <c:v>47.7</c:v>
                </c:pt>
                <c:pt idx="198">
                  <c:v>47.7</c:v>
                </c:pt>
                <c:pt idx="199">
                  <c:v>49.5</c:v>
                </c:pt>
                <c:pt idx="200">
                  <c:v>48.9</c:v>
                </c:pt>
                <c:pt idx="201">
                  <c:v>48.4</c:v>
                </c:pt>
                <c:pt idx="202">
                  <c:v>48.3</c:v>
                </c:pt>
                <c:pt idx="203">
                  <c:v>48.2</c:v>
                </c:pt>
                <c:pt idx="204">
                  <c:v>48.2</c:v>
                </c:pt>
                <c:pt idx="205">
                  <c:v>48.2</c:v>
                </c:pt>
                <c:pt idx="206">
                  <c:v>48.2</c:v>
                </c:pt>
                <c:pt idx="207">
                  <c:v>48.3</c:v>
                </c:pt>
                <c:pt idx="208">
                  <c:v>48.2</c:v>
                </c:pt>
                <c:pt idx="209">
                  <c:v>48.2</c:v>
                </c:pt>
                <c:pt idx="210">
                  <c:v>48.1</c:v>
                </c:pt>
                <c:pt idx="211">
                  <c:v>48.1</c:v>
                </c:pt>
                <c:pt idx="212">
                  <c:v>48.2</c:v>
                </c:pt>
                <c:pt idx="213">
                  <c:v>47.7</c:v>
                </c:pt>
                <c:pt idx="214">
                  <c:v>48.5</c:v>
                </c:pt>
                <c:pt idx="215">
                  <c:v>50.1</c:v>
                </c:pt>
                <c:pt idx="216">
                  <c:v>50.6</c:v>
                </c:pt>
                <c:pt idx="217">
                  <c:v>50.8</c:v>
                </c:pt>
                <c:pt idx="218">
                  <c:v>50.8</c:v>
                </c:pt>
                <c:pt idx="219">
                  <c:v>50.9</c:v>
                </c:pt>
                <c:pt idx="220">
                  <c:v>51</c:v>
                </c:pt>
                <c:pt idx="221">
                  <c:v>51</c:v>
                </c:pt>
                <c:pt idx="222">
                  <c:v>51.2</c:v>
                </c:pt>
                <c:pt idx="223">
                  <c:v>51.6</c:v>
                </c:pt>
                <c:pt idx="224">
                  <c:v>51.8</c:v>
                </c:pt>
                <c:pt idx="225">
                  <c:v>51.8</c:v>
                </c:pt>
                <c:pt idx="226">
                  <c:v>51.7</c:v>
                </c:pt>
                <c:pt idx="227">
                  <c:v>51.5</c:v>
                </c:pt>
                <c:pt idx="228">
                  <c:v>51.4</c:v>
                </c:pt>
                <c:pt idx="229">
                  <c:v>51.2</c:v>
                </c:pt>
                <c:pt idx="230">
                  <c:v>51.1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A3-4164-8654-C1B0D2D61C66}"/>
            </c:ext>
          </c:extLst>
        </c:ser>
        <c:ser>
          <c:idx val="3"/>
          <c:order val="3"/>
          <c:tx>
            <c:strRef>
              <c:f>'Parámetros proceso'!$N$1:$Q$1</c:f>
              <c:strCache>
                <c:ptCount val="1"/>
                <c:pt idx="0">
                  <c:v>Lote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proceso'!$A$3:$A$246</c:f>
              <c:numCache>
                <c:formatCode>General</c:formatCode>
                <c:ptCount val="2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</c:numCache>
            </c:numRef>
          </c:xVal>
          <c:yVal>
            <c:numRef>
              <c:f>'Parámetros proceso'!$P$3:$P$246</c:f>
              <c:numCache>
                <c:formatCode>General</c:formatCode>
                <c:ptCount val="244"/>
                <c:pt idx="0">
                  <c:v>50.7</c:v>
                </c:pt>
                <c:pt idx="1">
                  <c:v>51.3</c:v>
                </c:pt>
                <c:pt idx="2">
                  <c:v>48.3</c:v>
                </c:pt>
                <c:pt idx="3">
                  <c:v>42.3</c:v>
                </c:pt>
                <c:pt idx="4">
                  <c:v>48.4</c:v>
                </c:pt>
                <c:pt idx="5">
                  <c:v>53.3</c:v>
                </c:pt>
                <c:pt idx="6">
                  <c:v>47</c:v>
                </c:pt>
                <c:pt idx="7">
                  <c:v>50.9</c:v>
                </c:pt>
                <c:pt idx="8">
                  <c:v>48.9</c:v>
                </c:pt>
                <c:pt idx="9">
                  <c:v>47.6</c:v>
                </c:pt>
                <c:pt idx="10">
                  <c:v>50.3</c:v>
                </c:pt>
                <c:pt idx="11">
                  <c:v>51.9</c:v>
                </c:pt>
                <c:pt idx="12">
                  <c:v>47</c:v>
                </c:pt>
                <c:pt idx="13">
                  <c:v>49</c:v>
                </c:pt>
                <c:pt idx="14">
                  <c:v>45.9</c:v>
                </c:pt>
                <c:pt idx="15">
                  <c:v>47.4</c:v>
                </c:pt>
                <c:pt idx="16">
                  <c:v>42.7</c:v>
                </c:pt>
                <c:pt idx="17">
                  <c:v>47.8</c:v>
                </c:pt>
                <c:pt idx="18">
                  <c:v>45.9</c:v>
                </c:pt>
                <c:pt idx="19">
                  <c:v>47.5</c:v>
                </c:pt>
                <c:pt idx="20">
                  <c:v>49</c:v>
                </c:pt>
                <c:pt idx="21">
                  <c:v>47.4</c:v>
                </c:pt>
                <c:pt idx="22">
                  <c:v>46.6</c:v>
                </c:pt>
                <c:pt idx="23">
                  <c:v>46.2</c:v>
                </c:pt>
                <c:pt idx="24">
                  <c:v>47.1</c:v>
                </c:pt>
                <c:pt idx="25">
                  <c:v>48.2</c:v>
                </c:pt>
                <c:pt idx="26">
                  <c:v>48.1</c:v>
                </c:pt>
                <c:pt idx="27">
                  <c:v>46.1</c:v>
                </c:pt>
                <c:pt idx="28">
                  <c:v>47.9</c:v>
                </c:pt>
                <c:pt idx="29">
                  <c:v>43.5</c:v>
                </c:pt>
                <c:pt idx="30">
                  <c:v>48.5</c:v>
                </c:pt>
                <c:pt idx="31">
                  <c:v>46.6</c:v>
                </c:pt>
                <c:pt idx="32">
                  <c:v>47.7</c:v>
                </c:pt>
                <c:pt idx="33">
                  <c:v>51</c:v>
                </c:pt>
                <c:pt idx="34">
                  <c:v>47.6</c:v>
                </c:pt>
                <c:pt idx="35">
                  <c:v>47.7</c:v>
                </c:pt>
                <c:pt idx="36">
                  <c:v>48.2</c:v>
                </c:pt>
                <c:pt idx="37">
                  <c:v>46.4</c:v>
                </c:pt>
                <c:pt idx="38">
                  <c:v>48</c:v>
                </c:pt>
                <c:pt idx="39">
                  <c:v>48.1</c:v>
                </c:pt>
                <c:pt idx="40">
                  <c:v>47.3</c:v>
                </c:pt>
                <c:pt idx="41">
                  <c:v>46.3</c:v>
                </c:pt>
                <c:pt idx="42">
                  <c:v>48.1</c:v>
                </c:pt>
                <c:pt idx="43">
                  <c:v>46.4</c:v>
                </c:pt>
                <c:pt idx="44">
                  <c:v>48.5</c:v>
                </c:pt>
                <c:pt idx="45">
                  <c:v>48.9</c:v>
                </c:pt>
                <c:pt idx="46">
                  <c:v>47.5</c:v>
                </c:pt>
                <c:pt idx="47">
                  <c:v>47.8</c:v>
                </c:pt>
                <c:pt idx="48">
                  <c:v>47.7</c:v>
                </c:pt>
                <c:pt idx="49">
                  <c:v>48</c:v>
                </c:pt>
                <c:pt idx="50">
                  <c:v>48.2</c:v>
                </c:pt>
                <c:pt idx="51">
                  <c:v>48.3</c:v>
                </c:pt>
                <c:pt idx="52">
                  <c:v>48.3</c:v>
                </c:pt>
                <c:pt idx="53">
                  <c:v>48.6</c:v>
                </c:pt>
                <c:pt idx="54">
                  <c:v>48.7</c:v>
                </c:pt>
                <c:pt idx="55">
                  <c:v>47.9</c:v>
                </c:pt>
                <c:pt idx="56">
                  <c:v>48.3</c:v>
                </c:pt>
                <c:pt idx="57">
                  <c:v>48.7</c:v>
                </c:pt>
                <c:pt idx="58">
                  <c:v>48.1</c:v>
                </c:pt>
                <c:pt idx="59">
                  <c:v>48</c:v>
                </c:pt>
                <c:pt idx="60">
                  <c:v>48.4</c:v>
                </c:pt>
                <c:pt idx="61">
                  <c:v>48.6</c:v>
                </c:pt>
                <c:pt idx="62">
                  <c:v>48.2</c:v>
                </c:pt>
                <c:pt idx="63">
                  <c:v>48.3</c:v>
                </c:pt>
                <c:pt idx="64">
                  <c:v>49.3</c:v>
                </c:pt>
                <c:pt idx="65">
                  <c:v>48.1</c:v>
                </c:pt>
                <c:pt idx="66">
                  <c:v>48.2</c:v>
                </c:pt>
                <c:pt idx="67">
                  <c:v>48.4</c:v>
                </c:pt>
                <c:pt idx="68">
                  <c:v>48.4</c:v>
                </c:pt>
                <c:pt idx="69">
                  <c:v>49.9</c:v>
                </c:pt>
                <c:pt idx="70">
                  <c:v>48.9</c:v>
                </c:pt>
                <c:pt idx="71">
                  <c:v>50.5</c:v>
                </c:pt>
                <c:pt idx="72">
                  <c:v>48.6</c:v>
                </c:pt>
                <c:pt idx="73">
                  <c:v>49.1</c:v>
                </c:pt>
                <c:pt idx="74">
                  <c:v>48.7</c:v>
                </c:pt>
                <c:pt idx="75">
                  <c:v>47.9</c:v>
                </c:pt>
                <c:pt idx="76">
                  <c:v>47.7</c:v>
                </c:pt>
                <c:pt idx="77">
                  <c:v>48.7</c:v>
                </c:pt>
                <c:pt idx="78">
                  <c:v>48.4</c:v>
                </c:pt>
                <c:pt idx="79">
                  <c:v>48.5</c:v>
                </c:pt>
                <c:pt idx="80">
                  <c:v>48.5</c:v>
                </c:pt>
                <c:pt idx="81">
                  <c:v>48.4</c:v>
                </c:pt>
                <c:pt idx="82">
                  <c:v>48.9</c:v>
                </c:pt>
                <c:pt idx="83">
                  <c:v>48.6</c:v>
                </c:pt>
                <c:pt idx="84">
                  <c:v>46.9</c:v>
                </c:pt>
                <c:pt idx="85">
                  <c:v>48.3</c:v>
                </c:pt>
                <c:pt idx="86">
                  <c:v>47.6</c:v>
                </c:pt>
                <c:pt idx="87">
                  <c:v>47.4</c:v>
                </c:pt>
                <c:pt idx="88">
                  <c:v>49.1</c:v>
                </c:pt>
                <c:pt idx="89">
                  <c:v>46.9</c:v>
                </c:pt>
                <c:pt idx="90">
                  <c:v>49.1</c:v>
                </c:pt>
                <c:pt idx="91">
                  <c:v>48.9</c:v>
                </c:pt>
                <c:pt idx="92">
                  <c:v>48.9</c:v>
                </c:pt>
                <c:pt idx="93">
                  <c:v>49.1</c:v>
                </c:pt>
                <c:pt idx="94">
                  <c:v>46.5</c:v>
                </c:pt>
                <c:pt idx="95">
                  <c:v>49.2</c:v>
                </c:pt>
                <c:pt idx="96">
                  <c:v>49.1</c:v>
                </c:pt>
                <c:pt idx="97">
                  <c:v>50.2</c:v>
                </c:pt>
                <c:pt idx="98">
                  <c:v>49</c:v>
                </c:pt>
                <c:pt idx="99">
                  <c:v>49.1</c:v>
                </c:pt>
                <c:pt idx="100">
                  <c:v>46.7</c:v>
                </c:pt>
                <c:pt idx="101">
                  <c:v>50.4</c:v>
                </c:pt>
                <c:pt idx="102">
                  <c:v>48.5</c:v>
                </c:pt>
                <c:pt idx="103">
                  <c:v>48.6</c:v>
                </c:pt>
                <c:pt idx="104">
                  <c:v>48.7</c:v>
                </c:pt>
                <c:pt idx="105">
                  <c:v>47.3</c:v>
                </c:pt>
                <c:pt idx="106">
                  <c:v>50.6</c:v>
                </c:pt>
                <c:pt idx="107">
                  <c:v>49.5</c:v>
                </c:pt>
                <c:pt idx="108">
                  <c:v>49.5</c:v>
                </c:pt>
                <c:pt idx="109">
                  <c:v>46.4</c:v>
                </c:pt>
                <c:pt idx="110">
                  <c:v>49.1</c:v>
                </c:pt>
                <c:pt idx="111">
                  <c:v>48.8</c:v>
                </c:pt>
                <c:pt idx="112">
                  <c:v>48.8</c:v>
                </c:pt>
                <c:pt idx="113">
                  <c:v>49</c:v>
                </c:pt>
                <c:pt idx="114">
                  <c:v>47.6</c:v>
                </c:pt>
                <c:pt idx="115">
                  <c:v>49.4</c:v>
                </c:pt>
                <c:pt idx="116">
                  <c:v>50.4</c:v>
                </c:pt>
                <c:pt idx="117">
                  <c:v>48.2</c:v>
                </c:pt>
                <c:pt idx="118">
                  <c:v>49.6</c:v>
                </c:pt>
                <c:pt idx="119">
                  <c:v>48.7</c:v>
                </c:pt>
                <c:pt idx="120">
                  <c:v>48.5</c:v>
                </c:pt>
                <c:pt idx="121">
                  <c:v>47.7</c:v>
                </c:pt>
                <c:pt idx="122">
                  <c:v>48.6</c:v>
                </c:pt>
                <c:pt idx="123">
                  <c:v>47.2</c:v>
                </c:pt>
                <c:pt idx="124">
                  <c:v>47.8</c:v>
                </c:pt>
                <c:pt idx="125">
                  <c:v>48.2</c:v>
                </c:pt>
                <c:pt idx="126">
                  <c:v>46.6</c:v>
                </c:pt>
                <c:pt idx="127">
                  <c:v>48.3</c:v>
                </c:pt>
                <c:pt idx="128">
                  <c:v>48.5</c:v>
                </c:pt>
                <c:pt idx="129">
                  <c:v>50.8</c:v>
                </c:pt>
                <c:pt idx="130">
                  <c:v>51.5</c:v>
                </c:pt>
                <c:pt idx="131">
                  <c:v>50</c:v>
                </c:pt>
                <c:pt idx="132">
                  <c:v>49.5</c:v>
                </c:pt>
                <c:pt idx="133">
                  <c:v>48.5</c:v>
                </c:pt>
                <c:pt idx="134">
                  <c:v>48.5</c:v>
                </c:pt>
                <c:pt idx="135">
                  <c:v>48.8</c:v>
                </c:pt>
                <c:pt idx="136">
                  <c:v>48.7</c:v>
                </c:pt>
                <c:pt idx="137">
                  <c:v>48.8</c:v>
                </c:pt>
                <c:pt idx="138">
                  <c:v>48.8</c:v>
                </c:pt>
                <c:pt idx="139">
                  <c:v>48.8</c:v>
                </c:pt>
                <c:pt idx="140">
                  <c:v>49</c:v>
                </c:pt>
                <c:pt idx="141">
                  <c:v>48.6</c:v>
                </c:pt>
                <c:pt idx="142">
                  <c:v>48.7</c:v>
                </c:pt>
                <c:pt idx="143">
                  <c:v>48.7</c:v>
                </c:pt>
                <c:pt idx="144">
                  <c:v>48.7</c:v>
                </c:pt>
                <c:pt idx="145">
                  <c:v>48.7</c:v>
                </c:pt>
                <c:pt idx="146">
                  <c:v>48.7</c:v>
                </c:pt>
                <c:pt idx="147">
                  <c:v>48.4</c:v>
                </c:pt>
                <c:pt idx="148">
                  <c:v>48.1</c:v>
                </c:pt>
                <c:pt idx="149">
                  <c:v>47.9</c:v>
                </c:pt>
                <c:pt idx="150">
                  <c:v>48</c:v>
                </c:pt>
                <c:pt idx="151">
                  <c:v>48</c:v>
                </c:pt>
                <c:pt idx="152">
                  <c:v>48.2</c:v>
                </c:pt>
                <c:pt idx="153">
                  <c:v>48.4</c:v>
                </c:pt>
                <c:pt idx="154">
                  <c:v>48.7</c:v>
                </c:pt>
                <c:pt idx="155">
                  <c:v>48.8</c:v>
                </c:pt>
                <c:pt idx="156">
                  <c:v>48.8</c:v>
                </c:pt>
                <c:pt idx="157">
                  <c:v>48.5</c:v>
                </c:pt>
                <c:pt idx="158">
                  <c:v>48.6</c:v>
                </c:pt>
                <c:pt idx="159">
                  <c:v>50</c:v>
                </c:pt>
                <c:pt idx="160">
                  <c:v>49.2</c:v>
                </c:pt>
                <c:pt idx="161">
                  <c:v>48.5</c:v>
                </c:pt>
                <c:pt idx="162">
                  <c:v>48.4</c:v>
                </c:pt>
                <c:pt idx="163">
                  <c:v>48.6</c:v>
                </c:pt>
                <c:pt idx="164">
                  <c:v>48.8</c:v>
                </c:pt>
                <c:pt idx="165">
                  <c:v>49</c:v>
                </c:pt>
                <c:pt idx="166">
                  <c:v>49.1</c:v>
                </c:pt>
                <c:pt idx="167">
                  <c:v>48.8</c:v>
                </c:pt>
                <c:pt idx="168">
                  <c:v>48.6</c:v>
                </c:pt>
                <c:pt idx="169">
                  <c:v>48.4</c:v>
                </c:pt>
                <c:pt idx="170">
                  <c:v>48.3</c:v>
                </c:pt>
                <c:pt idx="171">
                  <c:v>48.3</c:v>
                </c:pt>
                <c:pt idx="172">
                  <c:v>48.1</c:v>
                </c:pt>
                <c:pt idx="173">
                  <c:v>48.3</c:v>
                </c:pt>
                <c:pt idx="174">
                  <c:v>48.3</c:v>
                </c:pt>
                <c:pt idx="175">
                  <c:v>48.2</c:v>
                </c:pt>
                <c:pt idx="176">
                  <c:v>48.4</c:v>
                </c:pt>
                <c:pt idx="177">
                  <c:v>48.3</c:v>
                </c:pt>
                <c:pt idx="178">
                  <c:v>48.3</c:v>
                </c:pt>
                <c:pt idx="179">
                  <c:v>48.3</c:v>
                </c:pt>
                <c:pt idx="180">
                  <c:v>48.6</c:v>
                </c:pt>
                <c:pt idx="181">
                  <c:v>48.3</c:v>
                </c:pt>
                <c:pt idx="182">
                  <c:v>48.3</c:v>
                </c:pt>
                <c:pt idx="183">
                  <c:v>48.7</c:v>
                </c:pt>
                <c:pt idx="184">
                  <c:v>48.6</c:v>
                </c:pt>
                <c:pt idx="185">
                  <c:v>48.8</c:v>
                </c:pt>
                <c:pt idx="186">
                  <c:v>49.1</c:v>
                </c:pt>
                <c:pt idx="187">
                  <c:v>49.1</c:v>
                </c:pt>
                <c:pt idx="188">
                  <c:v>49.1</c:v>
                </c:pt>
                <c:pt idx="189">
                  <c:v>49.2</c:v>
                </c:pt>
                <c:pt idx="190">
                  <c:v>48.9</c:v>
                </c:pt>
                <c:pt idx="191">
                  <c:v>48.7</c:v>
                </c:pt>
                <c:pt idx="192">
                  <c:v>48.4</c:v>
                </c:pt>
                <c:pt idx="193">
                  <c:v>48.5</c:v>
                </c:pt>
                <c:pt idx="194">
                  <c:v>48.4</c:v>
                </c:pt>
                <c:pt idx="195">
                  <c:v>48.4</c:v>
                </c:pt>
                <c:pt idx="196">
                  <c:v>48.5</c:v>
                </c:pt>
                <c:pt idx="197">
                  <c:v>48.6</c:v>
                </c:pt>
                <c:pt idx="198">
                  <c:v>48.8</c:v>
                </c:pt>
                <c:pt idx="199">
                  <c:v>48.8</c:v>
                </c:pt>
                <c:pt idx="200">
                  <c:v>48.8</c:v>
                </c:pt>
                <c:pt idx="201">
                  <c:v>48.6</c:v>
                </c:pt>
                <c:pt idx="202">
                  <c:v>48.6</c:v>
                </c:pt>
                <c:pt idx="203">
                  <c:v>48.8</c:v>
                </c:pt>
                <c:pt idx="204">
                  <c:v>49</c:v>
                </c:pt>
                <c:pt idx="205">
                  <c:v>49.3</c:v>
                </c:pt>
                <c:pt idx="206">
                  <c:v>48.8</c:v>
                </c:pt>
                <c:pt idx="207">
                  <c:v>48.7</c:v>
                </c:pt>
                <c:pt idx="208">
                  <c:v>48.7</c:v>
                </c:pt>
                <c:pt idx="209">
                  <c:v>48.8</c:v>
                </c:pt>
                <c:pt idx="210">
                  <c:v>48.8</c:v>
                </c:pt>
                <c:pt idx="211">
                  <c:v>48.8</c:v>
                </c:pt>
                <c:pt idx="212">
                  <c:v>48.7</c:v>
                </c:pt>
                <c:pt idx="213">
                  <c:v>48.6</c:v>
                </c:pt>
                <c:pt idx="214">
                  <c:v>48.6</c:v>
                </c:pt>
                <c:pt idx="215">
                  <c:v>48.6</c:v>
                </c:pt>
                <c:pt idx="216">
                  <c:v>48.5</c:v>
                </c:pt>
                <c:pt idx="217">
                  <c:v>48.5</c:v>
                </c:pt>
                <c:pt idx="218">
                  <c:v>48.3</c:v>
                </c:pt>
                <c:pt idx="219">
                  <c:v>48.4</c:v>
                </c:pt>
                <c:pt idx="220">
                  <c:v>48.2</c:v>
                </c:pt>
                <c:pt idx="221">
                  <c:v>48.1</c:v>
                </c:pt>
                <c:pt idx="222">
                  <c:v>48</c:v>
                </c:pt>
                <c:pt idx="223">
                  <c:v>50.4</c:v>
                </c:pt>
                <c:pt idx="224">
                  <c:v>50.9</c:v>
                </c:pt>
                <c:pt idx="225">
                  <c:v>50.7</c:v>
                </c:pt>
                <c:pt idx="226">
                  <c:v>51.6</c:v>
                </c:pt>
                <c:pt idx="227">
                  <c:v>50.9</c:v>
                </c:pt>
                <c:pt idx="228">
                  <c:v>51.5</c:v>
                </c:pt>
                <c:pt idx="229">
                  <c:v>51.6</c:v>
                </c:pt>
                <c:pt idx="230">
                  <c:v>51.5</c:v>
                </c:pt>
                <c:pt idx="231">
                  <c:v>51.2</c:v>
                </c:pt>
                <c:pt idx="232">
                  <c:v>50.8</c:v>
                </c:pt>
                <c:pt idx="233">
                  <c:v>50.2</c:v>
                </c:pt>
                <c:pt idx="234">
                  <c:v>49.5</c:v>
                </c:pt>
                <c:pt idx="235">
                  <c:v>48.8</c:v>
                </c:pt>
                <c:pt idx="236">
                  <c:v>48.1</c:v>
                </c:pt>
                <c:pt idx="237">
                  <c:v>47.5</c:v>
                </c:pt>
                <c:pt idx="238">
                  <c:v>47.1</c:v>
                </c:pt>
                <c:pt idx="239">
                  <c:v>46.8</c:v>
                </c:pt>
                <c:pt idx="240">
                  <c:v>46.7</c:v>
                </c:pt>
                <c:pt idx="241">
                  <c:v>46.7</c:v>
                </c:pt>
                <c:pt idx="242">
                  <c:v>46.9</c:v>
                </c:pt>
                <c:pt idx="243">
                  <c:v>46.7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A3-4164-8654-C1B0D2D61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787183"/>
        <c:axId val="1839731023"/>
      </c:scatterChart>
      <c:valAx>
        <c:axId val="1839787183"/>
        <c:scaling>
          <c:orientation val="minMax"/>
          <c:max val="3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200" b="1"/>
                  <a:t>Tiempo</a:t>
                </a:r>
                <a:r>
                  <a:rPr lang="es-ES" sz="1200" b="1" baseline="0"/>
                  <a:t> [min]</a:t>
                </a:r>
                <a:endParaRPr lang="es-E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9731023"/>
        <c:crosses val="autoZero"/>
        <c:crossBetween val="midCat"/>
        <c:majorUnit val="20"/>
      </c:valAx>
      <c:valAx>
        <c:axId val="1839731023"/>
        <c:scaling>
          <c:orientation val="minMax"/>
          <c:max val="60"/>
          <c:min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200" b="1"/>
                  <a:t>T producto  </a:t>
                </a:r>
                <a:r>
                  <a:rPr lang="es-ES" sz="1200" b="1" baseline="0"/>
                  <a:t>[°C]</a:t>
                </a:r>
                <a:endParaRPr lang="es-ES" sz="1200" b="1"/>
              </a:p>
            </c:rich>
          </c:tx>
          <c:layout>
            <c:manualLayout>
              <c:xMode val="edge"/>
              <c:yMode val="edge"/>
              <c:x val="1.3108614232209739E-2"/>
              <c:y val="0.342851421565355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9787183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6824884249019432"/>
          <c:y val="0.75482527456699333"/>
          <c:w val="0.51265003391430009"/>
          <c:h val="8.7517697109794096E-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902946120498982E-2"/>
          <c:y val="3.7752032651049344E-2"/>
          <c:w val="0.88376537202512606"/>
          <c:h val="0.810130245863828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'Parámetros proceso'!$B$1:$E$1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proceso'!$A$3:$A$272</c:f>
              <c:numCache>
                <c:formatCode>General</c:formatCode>
                <c:ptCount val="2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</c:numCache>
            </c:numRef>
          </c:xVal>
          <c:yVal>
            <c:numRef>
              <c:f>'Parámetros proceso'!$E$3:$E$272</c:f>
              <c:numCache>
                <c:formatCode>General</c:formatCode>
                <c:ptCount val="270"/>
                <c:pt idx="0">
                  <c:v>3.78</c:v>
                </c:pt>
                <c:pt idx="1">
                  <c:v>3.26</c:v>
                </c:pt>
                <c:pt idx="2">
                  <c:v>2.2400000000000002</c:v>
                </c:pt>
                <c:pt idx="3">
                  <c:v>3.5</c:v>
                </c:pt>
                <c:pt idx="4">
                  <c:v>4.01</c:v>
                </c:pt>
                <c:pt idx="5">
                  <c:v>3.88</c:v>
                </c:pt>
                <c:pt idx="6">
                  <c:v>3.63</c:v>
                </c:pt>
                <c:pt idx="7">
                  <c:v>3.6</c:v>
                </c:pt>
                <c:pt idx="8">
                  <c:v>3.63</c:v>
                </c:pt>
                <c:pt idx="9">
                  <c:v>3.69</c:v>
                </c:pt>
                <c:pt idx="10">
                  <c:v>4.0599999999999996</c:v>
                </c:pt>
                <c:pt idx="11">
                  <c:v>4.2</c:v>
                </c:pt>
                <c:pt idx="12">
                  <c:v>4.25</c:v>
                </c:pt>
                <c:pt idx="13">
                  <c:v>4.32</c:v>
                </c:pt>
                <c:pt idx="14">
                  <c:v>4.42</c:v>
                </c:pt>
                <c:pt idx="15">
                  <c:v>4.29</c:v>
                </c:pt>
                <c:pt idx="16">
                  <c:v>4.32</c:v>
                </c:pt>
                <c:pt idx="17">
                  <c:v>4.34</c:v>
                </c:pt>
                <c:pt idx="18">
                  <c:v>4.28</c:v>
                </c:pt>
                <c:pt idx="19">
                  <c:v>4.29</c:v>
                </c:pt>
                <c:pt idx="20">
                  <c:v>4.4000000000000004</c:v>
                </c:pt>
                <c:pt idx="21">
                  <c:v>4.82</c:v>
                </c:pt>
                <c:pt idx="22">
                  <c:v>4.74</c:v>
                </c:pt>
                <c:pt idx="23">
                  <c:v>4.8</c:v>
                </c:pt>
                <c:pt idx="24">
                  <c:v>4.59</c:v>
                </c:pt>
                <c:pt idx="25">
                  <c:v>4.74</c:v>
                </c:pt>
                <c:pt idx="26">
                  <c:v>4.74</c:v>
                </c:pt>
                <c:pt idx="27">
                  <c:v>4.66</c:v>
                </c:pt>
                <c:pt idx="28">
                  <c:v>4.67</c:v>
                </c:pt>
                <c:pt idx="29">
                  <c:v>4.82</c:v>
                </c:pt>
                <c:pt idx="30">
                  <c:v>4.68</c:v>
                </c:pt>
                <c:pt idx="31">
                  <c:v>4.6500000000000004</c:v>
                </c:pt>
                <c:pt idx="32">
                  <c:v>4.63</c:v>
                </c:pt>
                <c:pt idx="33">
                  <c:v>4.37</c:v>
                </c:pt>
                <c:pt idx="34">
                  <c:v>4.7300000000000004</c:v>
                </c:pt>
                <c:pt idx="35">
                  <c:v>4.45</c:v>
                </c:pt>
                <c:pt idx="36">
                  <c:v>2.95</c:v>
                </c:pt>
                <c:pt idx="37">
                  <c:v>3.38</c:v>
                </c:pt>
                <c:pt idx="38">
                  <c:v>2.67</c:v>
                </c:pt>
                <c:pt idx="39">
                  <c:v>3.07</c:v>
                </c:pt>
                <c:pt idx="40">
                  <c:v>3.06</c:v>
                </c:pt>
                <c:pt idx="41">
                  <c:v>2.96</c:v>
                </c:pt>
                <c:pt idx="42">
                  <c:v>2.9</c:v>
                </c:pt>
                <c:pt idx="43">
                  <c:v>2.98</c:v>
                </c:pt>
                <c:pt idx="44">
                  <c:v>2.64</c:v>
                </c:pt>
                <c:pt idx="45">
                  <c:v>2.99</c:v>
                </c:pt>
                <c:pt idx="46">
                  <c:v>3.04</c:v>
                </c:pt>
                <c:pt idx="47">
                  <c:v>2.98</c:v>
                </c:pt>
                <c:pt idx="48">
                  <c:v>2.9</c:v>
                </c:pt>
                <c:pt idx="49">
                  <c:v>2.95</c:v>
                </c:pt>
                <c:pt idx="50">
                  <c:v>2.92</c:v>
                </c:pt>
                <c:pt idx="51">
                  <c:v>2.99</c:v>
                </c:pt>
                <c:pt idx="52">
                  <c:v>3.07</c:v>
                </c:pt>
                <c:pt idx="53">
                  <c:v>3.06</c:v>
                </c:pt>
                <c:pt idx="54">
                  <c:v>3.06</c:v>
                </c:pt>
                <c:pt idx="55">
                  <c:v>3.1</c:v>
                </c:pt>
                <c:pt idx="56">
                  <c:v>3.06</c:v>
                </c:pt>
                <c:pt idx="57">
                  <c:v>3.01</c:v>
                </c:pt>
                <c:pt idx="58">
                  <c:v>2.93</c:v>
                </c:pt>
                <c:pt idx="59">
                  <c:v>2.89</c:v>
                </c:pt>
                <c:pt idx="60">
                  <c:v>2.87</c:v>
                </c:pt>
                <c:pt idx="61">
                  <c:v>2.9</c:v>
                </c:pt>
                <c:pt idx="62">
                  <c:v>2.93</c:v>
                </c:pt>
                <c:pt idx="63">
                  <c:v>2.92</c:v>
                </c:pt>
                <c:pt idx="64">
                  <c:v>2.99</c:v>
                </c:pt>
                <c:pt idx="65">
                  <c:v>2.92</c:v>
                </c:pt>
                <c:pt idx="66">
                  <c:v>2.92</c:v>
                </c:pt>
                <c:pt idx="67">
                  <c:v>2.92</c:v>
                </c:pt>
                <c:pt idx="68">
                  <c:v>2.96</c:v>
                </c:pt>
                <c:pt idx="69">
                  <c:v>2.95</c:v>
                </c:pt>
                <c:pt idx="70">
                  <c:v>2.95</c:v>
                </c:pt>
                <c:pt idx="71">
                  <c:v>2.98</c:v>
                </c:pt>
                <c:pt idx="72">
                  <c:v>2.98</c:v>
                </c:pt>
                <c:pt idx="73">
                  <c:v>2.89</c:v>
                </c:pt>
                <c:pt idx="74">
                  <c:v>2.93</c:v>
                </c:pt>
                <c:pt idx="75">
                  <c:v>2.96</c:v>
                </c:pt>
                <c:pt idx="76">
                  <c:v>2.98</c:v>
                </c:pt>
                <c:pt idx="77">
                  <c:v>2.81</c:v>
                </c:pt>
                <c:pt idx="78">
                  <c:v>2.79</c:v>
                </c:pt>
                <c:pt idx="79">
                  <c:v>2.79</c:v>
                </c:pt>
                <c:pt idx="80">
                  <c:v>2.83</c:v>
                </c:pt>
                <c:pt idx="81">
                  <c:v>2.92</c:v>
                </c:pt>
                <c:pt idx="82">
                  <c:v>2.79</c:v>
                </c:pt>
                <c:pt idx="83">
                  <c:v>2.87</c:v>
                </c:pt>
                <c:pt idx="84">
                  <c:v>2.89</c:v>
                </c:pt>
                <c:pt idx="85">
                  <c:v>2.86</c:v>
                </c:pt>
                <c:pt idx="86">
                  <c:v>2.81</c:v>
                </c:pt>
                <c:pt idx="87">
                  <c:v>2.89</c:v>
                </c:pt>
                <c:pt idx="88">
                  <c:v>2.93</c:v>
                </c:pt>
                <c:pt idx="89">
                  <c:v>2.82</c:v>
                </c:pt>
                <c:pt idx="90">
                  <c:v>2.86</c:v>
                </c:pt>
                <c:pt idx="91">
                  <c:v>2.87</c:v>
                </c:pt>
                <c:pt idx="92">
                  <c:v>2.84</c:v>
                </c:pt>
                <c:pt idx="93">
                  <c:v>2.84</c:v>
                </c:pt>
                <c:pt idx="94">
                  <c:v>2.87</c:v>
                </c:pt>
                <c:pt idx="95">
                  <c:v>2.93</c:v>
                </c:pt>
                <c:pt idx="96">
                  <c:v>2.86</c:v>
                </c:pt>
                <c:pt idx="97">
                  <c:v>2.86</c:v>
                </c:pt>
                <c:pt idx="98">
                  <c:v>2.9</c:v>
                </c:pt>
                <c:pt idx="99">
                  <c:v>2.84</c:v>
                </c:pt>
                <c:pt idx="100">
                  <c:v>2.83</c:v>
                </c:pt>
                <c:pt idx="101">
                  <c:v>2.86</c:v>
                </c:pt>
                <c:pt idx="102">
                  <c:v>2.95</c:v>
                </c:pt>
                <c:pt idx="103">
                  <c:v>2.92</c:v>
                </c:pt>
                <c:pt idx="104">
                  <c:v>2.9</c:v>
                </c:pt>
                <c:pt idx="105">
                  <c:v>3.01</c:v>
                </c:pt>
                <c:pt idx="106">
                  <c:v>2.98</c:v>
                </c:pt>
                <c:pt idx="107">
                  <c:v>2.89</c:v>
                </c:pt>
                <c:pt idx="108">
                  <c:v>2.96</c:v>
                </c:pt>
                <c:pt idx="109">
                  <c:v>2.98</c:v>
                </c:pt>
                <c:pt idx="110">
                  <c:v>2.92</c:v>
                </c:pt>
                <c:pt idx="111">
                  <c:v>2.99</c:v>
                </c:pt>
                <c:pt idx="112">
                  <c:v>2.95</c:v>
                </c:pt>
                <c:pt idx="113">
                  <c:v>2.95</c:v>
                </c:pt>
                <c:pt idx="114">
                  <c:v>2.95</c:v>
                </c:pt>
                <c:pt idx="115">
                  <c:v>2.99</c:v>
                </c:pt>
                <c:pt idx="116">
                  <c:v>2.92</c:v>
                </c:pt>
                <c:pt idx="117">
                  <c:v>2.96</c:v>
                </c:pt>
                <c:pt idx="118">
                  <c:v>2.95</c:v>
                </c:pt>
                <c:pt idx="119">
                  <c:v>2.86</c:v>
                </c:pt>
                <c:pt idx="120">
                  <c:v>2.86</c:v>
                </c:pt>
                <c:pt idx="121">
                  <c:v>2.82</c:v>
                </c:pt>
                <c:pt idx="122">
                  <c:v>2.81</c:v>
                </c:pt>
                <c:pt idx="123">
                  <c:v>2.66</c:v>
                </c:pt>
                <c:pt idx="124">
                  <c:v>2.78</c:v>
                </c:pt>
                <c:pt idx="125">
                  <c:v>2.86</c:v>
                </c:pt>
                <c:pt idx="126">
                  <c:v>2.95</c:v>
                </c:pt>
                <c:pt idx="127">
                  <c:v>2.98</c:v>
                </c:pt>
                <c:pt idx="128">
                  <c:v>3.01</c:v>
                </c:pt>
                <c:pt idx="129">
                  <c:v>2.95</c:v>
                </c:pt>
                <c:pt idx="130">
                  <c:v>2.98</c:v>
                </c:pt>
                <c:pt idx="131">
                  <c:v>3.01</c:v>
                </c:pt>
                <c:pt idx="132">
                  <c:v>2.98</c:v>
                </c:pt>
                <c:pt idx="133">
                  <c:v>2.93</c:v>
                </c:pt>
                <c:pt idx="134">
                  <c:v>2.98</c:v>
                </c:pt>
                <c:pt idx="135">
                  <c:v>2.95</c:v>
                </c:pt>
                <c:pt idx="136">
                  <c:v>2.95</c:v>
                </c:pt>
                <c:pt idx="137">
                  <c:v>2.93</c:v>
                </c:pt>
                <c:pt idx="138">
                  <c:v>2.93</c:v>
                </c:pt>
                <c:pt idx="139">
                  <c:v>2.92</c:v>
                </c:pt>
                <c:pt idx="140">
                  <c:v>2.99</c:v>
                </c:pt>
                <c:pt idx="141">
                  <c:v>2.98</c:v>
                </c:pt>
                <c:pt idx="142">
                  <c:v>2.92</c:v>
                </c:pt>
                <c:pt idx="143">
                  <c:v>2.87</c:v>
                </c:pt>
                <c:pt idx="144">
                  <c:v>2.87</c:v>
                </c:pt>
                <c:pt idx="145">
                  <c:v>2.89</c:v>
                </c:pt>
                <c:pt idx="146">
                  <c:v>2.98</c:v>
                </c:pt>
                <c:pt idx="147">
                  <c:v>2.93</c:v>
                </c:pt>
                <c:pt idx="148">
                  <c:v>2.86</c:v>
                </c:pt>
                <c:pt idx="149">
                  <c:v>2.87</c:v>
                </c:pt>
                <c:pt idx="150">
                  <c:v>2.87</c:v>
                </c:pt>
                <c:pt idx="151">
                  <c:v>2.81</c:v>
                </c:pt>
                <c:pt idx="152">
                  <c:v>2.86</c:v>
                </c:pt>
                <c:pt idx="153">
                  <c:v>2.9</c:v>
                </c:pt>
                <c:pt idx="154">
                  <c:v>2.84</c:v>
                </c:pt>
                <c:pt idx="155">
                  <c:v>2.83</c:v>
                </c:pt>
                <c:pt idx="156">
                  <c:v>2.9</c:v>
                </c:pt>
                <c:pt idx="157">
                  <c:v>2.86</c:v>
                </c:pt>
                <c:pt idx="158">
                  <c:v>2.81</c:v>
                </c:pt>
                <c:pt idx="159">
                  <c:v>3.41</c:v>
                </c:pt>
                <c:pt idx="160">
                  <c:v>2.2799999999999998</c:v>
                </c:pt>
                <c:pt idx="161">
                  <c:v>2.63</c:v>
                </c:pt>
                <c:pt idx="162">
                  <c:v>2.84</c:v>
                </c:pt>
                <c:pt idx="163">
                  <c:v>3.94</c:v>
                </c:pt>
                <c:pt idx="164">
                  <c:v>2.78</c:v>
                </c:pt>
                <c:pt idx="165">
                  <c:v>3.64</c:v>
                </c:pt>
                <c:pt idx="166">
                  <c:v>2.73</c:v>
                </c:pt>
                <c:pt idx="167">
                  <c:v>3.02</c:v>
                </c:pt>
                <c:pt idx="168">
                  <c:v>2.78</c:v>
                </c:pt>
                <c:pt idx="169">
                  <c:v>2.93</c:v>
                </c:pt>
                <c:pt idx="170">
                  <c:v>2.92</c:v>
                </c:pt>
                <c:pt idx="171">
                  <c:v>2.97</c:v>
                </c:pt>
                <c:pt idx="172">
                  <c:v>2.95</c:v>
                </c:pt>
                <c:pt idx="173">
                  <c:v>2.92</c:v>
                </c:pt>
                <c:pt idx="174">
                  <c:v>2.96</c:v>
                </c:pt>
                <c:pt idx="175">
                  <c:v>2.95</c:v>
                </c:pt>
                <c:pt idx="176">
                  <c:v>2.92</c:v>
                </c:pt>
                <c:pt idx="177">
                  <c:v>2.92</c:v>
                </c:pt>
                <c:pt idx="178">
                  <c:v>2.89</c:v>
                </c:pt>
                <c:pt idx="179">
                  <c:v>2.93</c:v>
                </c:pt>
                <c:pt idx="180">
                  <c:v>2.96</c:v>
                </c:pt>
                <c:pt idx="181">
                  <c:v>2.92</c:v>
                </c:pt>
                <c:pt idx="182">
                  <c:v>2.86</c:v>
                </c:pt>
                <c:pt idx="183">
                  <c:v>2.87</c:v>
                </c:pt>
                <c:pt idx="184">
                  <c:v>2.78</c:v>
                </c:pt>
                <c:pt idx="185">
                  <c:v>2.75</c:v>
                </c:pt>
                <c:pt idx="186">
                  <c:v>2.79</c:v>
                </c:pt>
                <c:pt idx="187">
                  <c:v>2.84</c:v>
                </c:pt>
                <c:pt idx="188">
                  <c:v>2.83</c:v>
                </c:pt>
                <c:pt idx="189">
                  <c:v>2.84</c:v>
                </c:pt>
                <c:pt idx="190">
                  <c:v>2.84</c:v>
                </c:pt>
                <c:pt idx="191">
                  <c:v>2.89</c:v>
                </c:pt>
                <c:pt idx="192">
                  <c:v>2.87</c:v>
                </c:pt>
                <c:pt idx="193">
                  <c:v>2.89</c:v>
                </c:pt>
                <c:pt idx="194">
                  <c:v>2.83</c:v>
                </c:pt>
                <c:pt idx="195">
                  <c:v>2.81</c:v>
                </c:pt>
                <c:pt idx="196">
                  <c:v>2.81</c:v>
                </c:pt>
                <c:pt idx="197">
                  <c:v>2.81</c:v>
                </c:pt>
                <c:pt idx="198">
                  <c:v>2.78</c:v>
                </c:pt>
                <c:pt idx="199">
                  <c:v>2.79</c:v>
                </c:pt>
                <c:pt idx="200">
                  <c:v>2.83</c:v>
                </c:pt>
                <c:pt idx="201">
                  <c:v>2.84</c:v>
                </c:pt>
                <c:pt idx="202">
                  <c:v>2.87</c:v>
                </c:pt>
                <c:pt idx="203">
                  <c:v>2.9</c:v>
                </c:pt>
                <c:pt idx="204">
                  <c:v>2.89</c:v>
                </c:pt>
                <c:pt idx="205">
                  <c:v>2.84</c:v>
                </c:pt>
                <c:pt idx="206">
                  <c:v>2.79</c:v>
                </c:pt>
                <c:pt idx="207">
                  <c:v>2.81</c:v>
                </c:pt>
                <c:pt idx="208">
                  <c:v>2.84</c:v>
                </c:pt>
                <c:pt idx="209">
                  <c:v>2.84</c:v>
                </c:pt>
                <c:pt idx="210">
                  <c:v>2.58</c:v>
                </c:pt>
                <c:pt idx="211">
                  <c:v>2.67</c:v>
                </c:pt>
                <c:pt idx="212">
                  <c:v>2.79</c:v>
                </c:pt>
                <c:pt idx="213">
                  <c:v>2.78</c:v>
                </c:pt>
                <c:pt idx="214">
                  <c:v>2.86</c:v>
                </c:pt>
                <c:pt idx="215">
                  <c:v>2.92</c:v>
                </c:pt>
                <c:pt idx="216">
                  <c:v>2.92</c:v>
                </c:pt>
                <c:pt idx="217">
                  <c:v>2.89</c:v>
                </c:pt>
                <c:pt idx="218">
                  <c:v>2.96</c:v>
                </c:pt>
                <c:pt idx="219">
                  <c:v>2.98</c:v>
                </c:pt>
                <c:pt idx="220">
                  <c:v>2.92</c:v>
                </c:pt>
                <c:pt idx="221">
                  <c:v>2.9</c:v>
                </c:pt>
                <c:pt idx="222">
                  <c:v>2.9</c:v>
                </c:pt>
                <c:pt idx="223">
                  <c:v>2.92</c:v>
                </c:pt>
                <c:pt idx="224">
                  <c:v>2.93</c:v>
                </c:pt>
                <c:pt idx="225">
                  <c:v>2.95</c:v>
                </c:pt>
                <c:pt idx="226">
                  <c:v>2.86</c:v>
                </c:pt>
                <c:pt idx="227">
                  <c:v>2.81</c:v>
                </c:pt>
                <c:pt idx="228">
                  <c:v>2.84</c:v>
                </c:pt>
                <c:pt idx="229">
                  <c:v>2.78</c:v>
                </c:pt>
                <c:pt idx="230">
                  <c:v>2.73</c:v>
                </c:pt>
                <c:pt idx="231">
                  <c:v>2.72</c:v>
                </c:pt>
                <c:pt idx="232">
                  <c:v>2.78</c:v>
                </c:pt>
                <c:pt idx="233">
                  <c:v>2.78</c:v>
                </c:pt>
                <c:pt idx="234">
                  <c:v>2.79</c:v>
                </c:pt>
                <c:pt idx="235">
                  <c:v>2.81</c:v>
                </c:pt>
                <c:pt idx="236">
                  <c:v>2.83</c:v>
                </c:pt>
                <c:pt idx="237">
                  <c:v>2.86</c:v>
                </c:pt>
                <c:pt idx="238">
                  <c:v>2.89</c:v>
                </c:pt>
                <c:pt idx="239">
                  <c:v>2.86</c:v>
                </c:pt>
                <c:pt idx="240">
                  <c:v>2.93</c:v>
                </c:pt>
                <c:pt idx="241">
                  <c:v>2.96</c:v>
                </c:pt>
                <c:pt idx="242">
                  <c:v>2.89</c:v>
                </c:pt>
                <c:pt idx="243">
                  <c:v>2.92</c:v>
                </c:pt>
                <c:pt idx="244">
                  <c:v>2.9</c:v>
                </c:pt>
                <c:pt idx="245">
                  <c:v>2.93</c:v>
                </c:pt>
                <c:pt idx="246">
                  <c:v>2.92</c:v>
                </c:pt>
                <c:pt idx="247">
                  <c:v>2.98</c:v>
                </c:pt>
                <c:pt idx="248">
                  <c:v>2.89</c:v>
                </c:pt>
                <c:pt idx="249">
                  <c:v>2.89</c:v>
                </c:pt>
                <c:pt idx="250">
                  <c:v>2.93</c:v>
                </c:pt>
                <c:pt idx="251">
                  <c:v>2.92</c:v>
                </c:pt>
                <c:pt idx="252">
                  <c:v>2.86</c:v>
                </c:pt>
                <c:pt idx="253">
                  <c:v>2.81</c:v>
                </c:pt>
                <c:pt idx="254">
                  <c:v>2.8</c:v>
                </c:pt>
                <c:pt idx="255">
                  <c:v>2.78</c:v>
                </c:pt>
                <c:pt idx="256">
                  <c:v>2.84</c:v>
                </c:pt>
                <c:pt idx="257">
                  <c:v>2.78</c:v>
                </c:pt>
                <c:pt idx="258">
                  <c:v>2.81</c:v>
                </c:pt>
                <c:pt idx="259">
                  <c:v>2.89</c:v>
                </c:pt>
                <c:pt idx="260">
                  <c:v>2.84</c:v>
                </c:pt>
                <c:pt idx="261">
                  <c:v>2.83</c:v>
                </c:pt>
                <c:pt idx="262">
                  <c:v>2.87</c:v>
                </c:pt>
                <c:pt idx="263">
                  <c:v>2.84</c:v>
                </c:pt>
                <c:pt idx="264">
                  <c:v>2.78</c:v>
                </c:pt>
                <c:pt idx="265">
                  <c:v>2.78</c:v>
                </c:pt>
                <c:pt idx="266">
                  <c:v>2.69</c:v>
                </c:pt>
                <c:pt idx="267">
                  <c:v>2.67</c:v>
                </c:pt>
                <c:pt idx="268">
                  <c:v>2.7</c:v>
                </c:pt>
                <c:pt idx="269">
                  <c:v>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9B-4235-AC9F-41C8ADBFDA5C}"/>
            </c:ext>
          </c:extLst>
        </c:ser>
        <c:ser>
          <c:idx val="1"/>
          <c:order val="1"/>
          <c:tx>
            <c:strRef>
              <c:f>'Parámetros proceso'!$F$1:$I$1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proceso'!$A$3:$A$332</c:f>
              <c:numCache>
                <c:formatCode>General</c:formatCode>
                <c:ptCount val="3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</c:numCache>
            </c:numRef>
          </c:xVal>
          <c:yVal>
            <c:numRef>
              <c:f>'Parámetros proceso'!$I$3:$I$332</c:f>
              <c:numCache>
                <c:formatCode>General</c:formatCode>
                <c:ptCount val="330"/>
                <c:pt idx="0">
                  <c:v>2.92</c:v>
                </c:pt>
                <c:pt idx="1">
                  <c:v>2.89</c:v>
                </c:pt>
                <c:pt idx="2">
                  <c:v>2.93</c:v>
                </c:pt>
                <c:pt idx="3">
                  <c:v>3</c:v>
                </c:pt>
                <c:pt idx="4">
                  <c:v>2.98</c:v>
                </c:pt>
                <c:pt idx="5">
                  <c:v>2.99</c:v>
                </c:pt>
                <c:pt idx="6">
                  <c:v>3.07</c:v>
                </c:pt>
                <c:pt idx="7">
                  <c:v>2.97</c:v>
                </c:pt>
                <c:pt idx="8">
                  <c:v>2.81</c:v>
                </c:pt>
                <c:pt idx="9">
                  <c:v>2.81</c:v>
                </c:pt>
                <c:pt idx="10">
                  <c:v>2.84</c:v>
                </c:pt>
                <c:pt idx="11">
                  <c:v>2.84</c:v>
                </c:pt>
                <c:pt idx="12">
                  <c:v>2.98</c:v>
                </c:pt>
                <c:pt idx="13">
                  <c:v>3.01</c:v>
                </c:pt>
                <c:pt idx="14">
                  <c:v>3.72</c:v>
                </c:pt>
                <c:pt idx="15">
                  <c:v>2.5099999999999998</c:v>
                </c:pt>
                <c:pt idx="16">
                  <c:v>3.03</c:v>
                </c:pt>
                <c:pt idx="17">
                  <c:v>3.41</c:v>
                </c:pt>
                <c:pt idx="18">
                  <c:v>3.95</c:v>
                </c:pt>
                <c:pt idx="19">
                  <c:v>4.1399999999999997</c:v>
                </c:pt>
                <c:pt idx="20">
                  <c:v>4.03</c:v>
                </c:pt>
                <c:pt idx="21">
                  <c:v>3.89</c:v>
                </c:pt>
                <c:pt idx="22">
                  <c:v>3.89</c:v>
                </c:pt>
                <c:pt idx="23">
                  <c:v>3.74</c:v>
                </c:pt>
                <c:pt idx="24">
                  <c:v>3.78</c:v>
                </c:pt>
                <c:pt idx="25">
                  <c:v>3.74</c:v>
                </c:pt>
                <c:pt idx="26">
                  <c:v>3.69</c:v>
                </c:pt>
                <c:pt idx="27">
                  <c:v>3.72</c:v>
                </c:pt>
                <c:pt idx="28">
                  <c:v>3.81</c:v>
                </c:pt>
                <c:pt idx="29">
                  <c:v>3.94</c:v>
                </c:pt>
                <c:pt idx="30">
                  <c:v>4</c:v>
                </c:pt>
                <c:pt idx="31">
                  <c:v>3.98</c:v>
                </c:pt>
                <c:pt idx="32">
                  <c:v>4.0199999999999996</c:v>
                </c:pt>
                <c:pt idx="33">
                  <c:v>4.1399999999999997</c:v>
                </c:pt>
                <c:pt idx="34">
                  <c:v>4.09</c:v>
                </c:pt>
                <c:pt idx="35">
                  <c:v>2.78</c:v>
                </c:pt>
                <c:pt idx="36">
                  <c:v>2.79</c:v>
                </c:pt>
                <c:pt idx="37">
                  <c:v>2.72</c:v>
                </c:pt>
                <c:pt idx="38">
                  <c:v>2.78</c:v>
                </c:pt>
                <c:pt idx="39">
                  <c:v>2.78</c:v>
                </c:pt>
                <c:pt idx="40">
                  <c:v>2.94</c:v>
                </c:pt>
                <c:pt idx="41">
                  <c:v>3.67</c:v>
                </c:pt>
                <c:pt idx="42">
                  <c:v>3.89</c:v>
                </c:pt>
                <c:pt idx="43">
                  <c:v>0.6</c:v>
                </c:pt>
                <c:pt idx="44">
                  <c:v>3.78</c:v>
                </c:pt>
                <c:pt idx="45">
                  <c:v>3.89</c:v>
                </c:pt>
                <c:pt idx="46">
                  <c:v>3.24</c:v>
                </c:pt>
                <c:pt idx="47">
                  <c:v>3.07</c:v>
                </c:pt>
                <c:pt idx="48">
                  <c:v>3.02</c:v>
                </c:pt>
                <c:pt idx="49">
                  <c:v>2.95</c:v>
                </c:pt>
                <c:pt idx="50">
                  <c:v>2.98</c:v>
                </c:pt>
                <c:pt idx="51">
                  <c:v>2.95</c:v>
                </c:pt>
                <c:pt idx="52">
                  <c:v>2.96</c:v>
                </c:pt>
                <c:pt idx="53">
                  <c:v>2.95</c:v>
                </c:pt>
                <c:pt idx="54">
                  <c:v>2.95</c:v>
                </c:pt>
                <c:pt idx="55">
                  <c:v>2.99</c:v>
                </c:pt>
                <c:pt idx="56">
                  <c:v>2.92</c:v>
                </c:pt>
                <c:pt idx="57">
                  <c:v>2.98</c:v>
                </c:pt>
                <c:pt idx="58">
                  <c:v>2.98</c:v>
                </c:pt>
                <c:pt idx="59">
                  <c:v>2.93</c:v>
                </c:pt>
                <c:pt idx="60">
                  <c:v>2.98</c:v>
                </c:pt>
                <c:pt idx="61">
                  <c:v>2.83</c:v>
                </c:pt>
                <c:pt idx="62">
                  <c:v>2.9</c:v>
                </c:pt>
                <c:pt idx="63">
                  <c:v>2.89</c:v>
                </c:pt>
                <c:pt idx="64">
                  <c:v>2.78</c:v>
                </c:pt>
                <c:pt idx="65">
                  <c:v>2.81</c:v>
                </c:pt>
                <c:pt idx="66">
                  <c:v>2.79</c:v>
                </c:pt>
                <c:pt idx="67">
                  <c:v>2.78</c:v>
                </c:pt>
                <c:pt idx="68">
                  <c:v>2.75</c:v>
                </c:pt>
                <c:pt idx="69">
                  <c:v>2.73</c:v>
                </c:pt>
                <c:pt idx="70">
                  <c:v>2.72</c:v>
                </c:pt>
                <c:pt idx="71">
                  <c:v>2.67</c:v>
                </c:pt>
                <c:pt idx="72">
                  <c:v>2.67</c:v>
                </c:pt>
                <c:pt idx="73">
                  <c:v>2.58</c:v>
                </c:pt>
                <c:pt idx="74">
                  <c:v>2.67</c:v>
                </c:pt>
                <c:pt idx="75">
                  <c:v>2.7</c:v>
                </c:pt>
                <c:pt idx="76">
                  <c:v>2.78</c:v>
                </c:pt>
                <c:pt idx="77">
                  <c:v>2.66</c:v>
                </c:pt>
                <c:pt idx="78">
                  <c:v>2.73</c:v>
                </c:pt>
                <c:pt idx="79">
                  <c:v>2.77</c:v>
                </c:pt>
                <c:pt idx="80">
                  <c:v>2.78</c:v>
                </c:pt>
                <c:pt idx="81">
                  <c:v>2.79</c:v>
                </c:pt>
                <c:pt idx="82">
                  <c:v>2.75</c:v>
                </c:pt>
                <c:pt idx="83">
                  <c:v>2.8</c:v>
                </c:pt>
                <c:pt idx="84">
                  <c:v>2.84</c:v>
                </c:pt>
                <c:pt idx="85">
                  <c:v>2.81</c:v>
                </c:pt>
                <c:pt idx="86">
                  <c:v>2.83</c:v>
                </c:pt>
                <c:pt idx="87">
                  <c:v>2.87</c:v>
                </c:pt>
                <c:pt idx="88">
                  <c:v>2.9</c:v>
                </c:pt>
                <c:pt idx="89">
                  <c:v>2.87</c:v>
                </c:pt>
                <c:pt idx="90">
                  <c:v>2.92</c:v>
                </c:pt>
                <c:pt idx="91">
                  <c:v>2.98</c:v>
                </c:pt>
                <c:pt idx="92">
                  <c:v>2.96</c:v>
                </c:pt>
                <c:pt idx="93">
                  <c:v>2.95</c:v>
                </c:pt>
                <c:pt idx="94">
                  <c:v>2.93</c:v>
                </c:pt>
                <c:pt idx="95">
                  <c:v>2.92</c:v>
                </c:pt>
                <c:pt idx="96">
                  <c:v>2.86</c:v>
                </c:pt>
                <c:pt idx="97">
                  <c:v>2.84</c:v>
                </c:pt>
                <c:pt idx="98">
                  <c:v>2.79</c:v>
                </c:pt>
                <c:pt idx="99">
                  <c:v>2.83</c:v>
                </c:pt>
                <c:pt idx="100">
                  <c:v>2.86</c:v>
                </c:pt>
                <c:pt idx="101">
                  <c:v>2.84</c:v>
                </c:pt>
                <c:pt idx="102">
                  <c:v>3.03</c:v>
                </c:pt>
                <c:pt idx="103">
                  <c:v>3.07</c:v>
                </c:pt>
                <c:pt idx="104">
                  <c:v>3.07</c:v>
                </c:pt>
                <c:pt idx="105">
                  <c:v>2.98</c:v>
                </c:pt>
                <c:pt idx="106">
                  <c:v>2.92</c:v>
                </c:pt>
                <c:pt idx="107">
                  <c:v>2.87</c:v>
                </c:pt>
                <c:pt idx="108">
                  <c:v>2.9</c:v>
                </c:pt>
                <c:pt idx="109">
                  <c:v>2.81</c:v>
                </c:pt>
                <c:pt idx="110">
                  <c:v>2.79</c:v>
                </c:pt>
                <c:pt idx="111">
                  <c:v>2.78</c:v>
                </c:pt>
                <c:pt idx="112">
                  <c:v>2.81</c:v>
                </c:pt>
                <c:pt idx="113">
                  <c:v>2.81</c:v>
                </c:pt>
                <c:pt idx="114">
                  <c:v>2.66</c:v>
                </c:pt>
                <c:pt idx="115">
                  <c:v>2.67</c:v>
                </c:pt>
                <c:pt idx="116">
                  <c:v>2.7</c:v>
                </c:pt>
                <c:pt idx="117">
                  <c:v>2.64</c:v>
                </c:pt>
                <c:pt idx="118">
                  <c:v>2.59</c:v>
                </c:pt>
                <c:pt idx="119">
                  <c:v>2.5299999999999998</c:v>
                </c:pt>
                <c:pt idx="120">
                  <c:v>2.66</c:v>
                </c:pt>
                <c:pt idx="121">
                  <c:v>2.72</c:v>
                </c:pt>
                <c:pt idx="122">
                  <c:v>2.76</c:v>
                </c:pt>
                <c:pt idx="123">
                  <c:v>2.78</c:v>
                </c:pt>
                <c:pt idx="124">
                  <c:v>2.84</c:v>
                </c:pt>
                <c:pt idx="125">
                  <c:v>2.79</c:v>
                </c:pt>
                <c:pt idx="126">
                  <c:v>2.84</c:v>
                </c:pt>
                <c:pt idx="127">
                  <c:v>2.4500000000000002</c:v>
                </c:pt>
                <c:pt idx="128">
                  <c:v>0.43</c:v>
                </c:pt>
                <c:pt idx="129">
                  <c:v>2.89</c:v>
                </c:pt>
                <c:pt idx="130">
                  <c:v>2.92</c:v>
                </c:pt>
                <c:pt idx="131">
                  <c:v>2.92</c:v>
                </c:pt>
                <c:pt idx="132">
                  <c:v>2.92</c:v>
                </c:pt>
                <c:pt idx="133">
                  <c:v>2.93</c:v>
                </c:pt>
                <c:pt idx="134">
                  <c:v>2.95</c:v>
                </c:pt>
                <c:pt idx="135">
                  <c:v>2.97</c:v>
                </c:pt>
                <c:pt idx="136">
                  <c:v>2.92</c:v>
                </c:pt>
                <c:pt idx="137">
                  <c:v>3.73</c:v>
                </c:pt>
                <c:pt idx="138">
                  <c:v>2.78</c:v>
                </c:pt>
                <c:pt idx="139">
                  <c:v>2.73</c:v>
                </c:pt>
                <c:pt idx="140">
                  <c:v>2.73</c:v>
                </c:pt>
                <c:pt idx="141">
                  <c:v>2.69</c:v>
                </c:pt>
                <c:pt idx="142">
                  <c:v>2.67</c:v>
                </c:pt>
                <c:pt idx="143">
                  <c:v>2.56</c:v>
                </c:pt>
                <c:pt idx="144">
                  <c:v>2.81</c:v>
                </c:pt>
                <c:pt idx="145">
                  <c:v>3.97</c:v>
                </c:pt>
                <c:pt idx="146">
                  <c:v>2.73</c:v>
                </c:pt>
                <c:pt idx="147">
                  <c:v>2.75</c:v>
                </c:pt>
                <c:pt idx="148">
                  <c:v>2.69</c:v>
                </c:pt>
                <c:pt idx="149">
                  <c:v>3.86</c:v>
                </c:pt>
                <c:pt idx="150">
                  <c:v>2.73</c:v>
                </c:pt>
                <c:pt idx="151">
                  <c:v>2.78</c:v>
                </c:pt>
                <c:pt idx="152">
                  <c:v>2.8</c:v>
                </c:pt>
                <c:pt idx="153">
                  <c:v>2.84</c:v>
                </c:pt>
                <c:pt idx="154">
                  <c:v>2.72</c:v>
                </c:pt>
                <c:pt idx="155">
                  <c:v>2.84</c:v>
                </c:pt>
                <c:pt idx="156">
                  <c:v>2.81</c:v>
                </c:pt>
                <c:pt idx="157">
                  <c:v>2.84</c:v>
                </c:pt>
                <c:pt idx="158">
                  <c:v>2.86</c:v>
                </c:pt>
                <c:pt idx="159">
                  <c:v>2.92</c:v>
                </c:pt>
                <c:pt idx="160">
                  <c:v>2.79</c:v>
                </c:pt>
                <c:pt idx="161">
                  <c:v>2.78</c:v>
                </c:pt>
                <c:pt idx="162">
                  <c:v>2.84</c:v>
                </c:pt>
                <c:pt idx="163">
                  <c:v>2.81</c:v>
                </c:pt>
                <c:pt idx="164">
                  <c:v>2.78</c:v>
                </c:pt>
                <c:pt idx="165">
                  <c:v>2.75</c:v>
                </c:pt>
                <c:pt idx="166">
                  <c:v>2.73</c:v>
                </c:pt>
                <c:pt idx="167">
                  <c:v>2.81</c:v>
                </c:pt>
                <c:pt idx="168">
                  <c:v>2.67</c:v>
                </c:pt>
                <c:pt idx="169">
                  <c:v>2.7</c:v>
                </c:pt>
                <c:pt idx="170">
                  <c:v>2.78</c:v>
                </c:pt>
                <c:pt idx="171">
                  <c:v>2.75</c:v>
                </c:pt>
                <c:pt idx="172">
                  <c:v>3.65</c:v>
                </c:pt>
                <c:pt idx="173">
                  <c:v>2.73</c:v>
                </c:pt>
                <c:pt idx="174">
                  <c:v>2.72</c:v>
                </c:pt>
                <c:pt idx="175">
                  <c:v>2.78</c:v>
                </c:pt>
                <c:pt idx="176">
                  <c:v>2.61</c:v>
                </c:pt>
                <c:pt idx="177">
                  <c:v>2.72</c:v>
                </c:pt>
                <c:pt idx="178">
                  <c:v>2.78</c:v>
                </c:pt>
                <c:pt idx="179">
                  <c:v>2.67</c:v>
                </c:pt>
                <c:pt idx="180">
                  <c:v>2.69</c:v>
                </c:pt>
                <c:pt idx="181">
                  <c:v>2.86</c:v>
                </c:pt>
                <c:pt idx="182">
                  <c:v>2.73</c:v>
                </c:pt>
                <c:pt idx="183">
                  <c:v>2.4700000000000002</c:v>
                </c:pt>
                <c:pt idx="184">
                  <c:v>2.4700000000000002</c:v>
                </c:pt>
                <c:pt idx="185">
                  <c:v>2.39</c:v>
                </c:pt>
                <c:pt idx="186">
                  <c:v>2.41</c:v>
                </c:pt>
                <c:pt idx="187">
                  <c:v>2.63</c:v>
                </c:pt>
                <c:pt idx="188">
                  <c:v>2.58</c:v>
                </c:pt>
                <c:pt idx="189">
                  <c:v>3.09</c:v>
                </c:pt>
                <c:pt idx="190">
                  <c:v>2.67</c:v>
                </c:pt>
                <c:pt idx="191">
                  <c:v>3.65</c:v>
                </c:pt>
                <c:pt idx="192">
                  <c:v>2.62</c:v>
                </c:pt>
                <c:pt idx="193">
                  <c:v>2.72</c:v>
                </c:pt>
                <c:pt idx="194">
                  <c:v>3.2</c:v>
                </c:pt>
                <c:pt idx="195">
                  <c:v>2.64</c:v>
                </c:pt>
                <c:pt idx="196">
                  <c:v>2.67</c:v>
                </c:pt>
                <c:pt idx="197">
                  <c:v>2.69</c:v>
                </c:pt>
                <c:pt idx="198">
                  <c:v>2.84</c:v>
                </c:pt>
                <c:pt idx="199">
                  <c:v>2.8</c:v>
                </c:pt>
                <c:pt idx="200">
                  <c:v>2.83</c:v>
                </c:pt>
                <c:pt idx="201">
                  <c:v>2.79</c:v>
                </c:pt>
                <c:pt idx="202">
                  <c:v>2.81</c:v>
                </c:pt>
                <c:pt idx="203">
                  <c:v>2.78</c:v>
                </c:pt>
                <c:pt idx="204">
                  <c:v>2.75</c:v>
                </c:pt>
                <c:pt idx="205">
                  <c:v>2.8</c:v>
                </c:pt>
                <c:pt idx="206">
                  <c:v>2.81</c:v>
                </c:pt>
                <c:pt idx="207">
                  <c:v>2.89</c:v>
                </c:pt>
                <c:pt idx="208">
                  <c:v>2.84</c:v>
                </c:pt>
                <c:pt idx="209">
                  <c:v>2.79</c:v>
                </c:pt>
                <c:pt idx="210">
                  <c:v>2.81</c:v>
                </c:pt>
                <c:pt idx="211">
                  <c:v>2.75</c:v>
                </c:pt>
                <c:pt idx="212">
                  <c:v>2.79</c:v>
                </c:pt>
                <c:pt idx="213">
                  <c:v>2.78</c:v>
                </c:pt>
                <c:pt idx="214">
                  <c:v>2.78</c:v>
                </c:pt>
                <c:pt idx="215">
                  <c:v>2.84</c:v>
                </c:pt>
                <c:pt idx="216">
                  <c:v>2.83</c:v>
                </c:pt>
                <c:pt idx="217">
                  <c:v>2.81</c:v>
                </c:pt>
                <c:pt idx="218">
                  <c:v>2.84</c:v>
                </c:pt>
                <c:pt idx="219">
                  <c:v>2.87</c:v>
                </c:pt>
                <c:pt idx="220">
                  <c:v>2.8</c:v>
                </c:pt>
                <c:pt idx="221">
                  <c:v>2.78</c:v>
                </c:pt>
                <c:pt idx="222">
                  <c:v>2.78</c:v>
                </c:pt>
                <c:pt idx="223">
                  <c:v>2.86</c:v>
                </c:pt>
                <c:pt idx="224">
                  <c:v>2.78</c:v>
                </c:pt>
                <c:pt idx="225">
                  <c:v>2.79</c:v>
                </c:pt>
                <c:pt idx="226">
                  <c:v>2.69</c:v>
                </c:pt>
                <c:pt idx="227">
                  <c:v>2.69</c:v>
                </c:pt>
                <c:pt idx="228">
                  <c:v>2.56</c:v>
                </c:pt>
                <c:pt idx="229">
                  <c:v>2.61</c:v>
                </c:pt>
                <c:pt idx="230">
                  <c:v>2.58</c:v>
                </c:pt>
                <c:pt idx="231">
                  <c:v>2.9</c:v>
                </c:pt>
                <c:pt idx="232">
                  <c:v>2.75</c:v>
                </c:pt>
                <c:pt idx="233">
                  <c:v>2.83</c:v>
                </c:pt>
                <c:pt idx="234">
                  <c:v>2.89</c:v>
                </c:pt>
                <c:pt idx="235">
                  <c:v>2.9</c:v>
                </c:pt>
                <c:pt idx="236">
                  <c:v>2.92</c:v>
                </c:pt>
                <c:pt idx="237">
                  <c:v>2.93</c:v>
                </c:pt>
                <c:pt idx="238">
                  <c:v>2.95</c:v>
                </c:pt>
                <c:pt idx="239">
                  <c:v>2.92</c:v>
                </c:pt>
                <c:pt idx="240">
                  <c:v>2.89</c:v>
                </c:pt>
                <c:pt idx="241">
                  <c:v>2.93</c:v>
                </c:pt>
                <c:pt idx="242">
                  <c:v>2.92</c:v>
                </c:pt>
                <c:pt idx="243">
                  <c:v>2.89</c:v>
                </c:pt>
                <c:pt idx="244">
                  <c:v>2.9</c:v>
                </c:pt>
                <c:pt idx="245">
                  <c:v>2.92</c:v>
                </c:pt>
                <c:pt idx="246">
                  <c:v>2.92</c:v>
                </c:pt>
                <c:pt idx="247">
                  <c:v>2.9</c:v>
                </c:pt>
                <c:pt idx="248">
                  <c:v>2.9</c:v>
                </c:pt>
                <c:pt idx="249">
                  <c:v>2.92</c:v>
                </c:pt>
                <c:pt idx="250">
                  <c:v>2.98</c:v>
                </c:pt>
                <c:pt idx="251">
                  <c:v>2.96</c:v>
                </c:pt>
                <c:pt idx="252">
                  <c:v>2.92</c:v>
                </c:pt>
                <c:pt idx="253">
                  <c:v>2.87</c:v>
                </c:pt>
                <c:pt idx="254">
                  <c:v>2.84</c:v>
                </c:pt>
                <c:pt idx="255">
                  <c:v>2.78</c:v>
                </c:pt>
                <c:pt idx="256">
                  <c:v>2.84</c:v>
                </c:pt>
                <c:pt idx="257">
                  <c:v>2.84</c:v>
                </c:pt>
                <c:pt idx="258">
                  <c:v>2.81</c:v>
                </c:pt>
                <c:pt idx="259">
                  <c:v>2.83</c:v>
                </c:pt>
                <c:pt idx="260">
                  <c:v>2.78</c:v>
                </c:pt>
                <c:pt idx="261">
                  <c:v>2.8</c:v>
                </c:pt>
                <c:pt idx="262">
                  <c:v>2.81</c:v>
                </c:pt>
                <c:pt idx="263">
                  <c:v>2.84</c:v>
                </c:pt>
                <c:pt idx="264">
                  <c:v>2.83</c:v>
                </c:pt>
                <c:pt idx="265">
                  <c:v>2.86</c:v>
                </c:pt>
                <c:pt idx="266">
                  <c:v>2.79</c:v>
                </c:pt>
                <c:pt idx="267">
                  <c:v>2.81</c:v>
                </c:pt>
                <c:pt idx="268">
                  <c:v>2.78</c:v>
                </c:pt>
                <c:pt idx="269">
                  <c:v>2.78</c:v>
                </c:pt>
                <c:pt idx="270">
                  <c:v>2.8</c:v>
                </c:pt>
                <c:pt idx="271">
                  <c:v>2.83</c:v>
                </c:pt>
                <c:pt idx="272">
                  <c:v>2.81</c:v>
                </c:pt>
                <c:pt idx="273">
                  <c:v>2.84</c:v>
                </c:pt>
                <c:pt idx="274">
                  <c:v>2.72</c:v>
                </c:pt>
                <c:pt idx="275">
                  <c:v>2.64</c:v>
                </c:pt>
                <c:pt idx="276">
                  <c:v>2.64</c:v>
                </c:pt>
                <c:pt idx="277">
                  <c:v>2.94</c:v>
                </c:pt>
                <c:pt idx="278">
                  <c:v>2.7</c:v>
                </c:pt>
                <c:pt idx="279">
                  <c:v>2.79</c:v>
                </c:pt>
                <c:pt idx="280">
                  <c:v>2.84</c:v>
                </c:pt>
                <c:pt idx="281">
                  <c:v>2.89</c:v>
                </c:pt>
                <c:pt idx="282">
                  <c:v>2.92</c:v>
                </c:pt>
                <c:pt idx="283">
                  <c:v>2.8</c:v>
                </c:pt>
                <c:pt idx="284">
                  <c:v>2.89</c:v>
                </c:pt>
                <c:pt idx="285">
                  <c:v>2.96</c:v>
                </c:pt>
                <c:pt idx="286">
                  <c:v>2.92</c:v>
                </c:pt>
                <c:pt idx="287">
                  <c:v>2.92</c:v>
                </c:pt>
                <c:pt idx="288">
                  <c:v>2.9</c:v>
                </c:pt>
                <c:pt idx="289">
                  <c:v>2.87</c:v>
                </c:pt>
                <c:pt idx="290">
                  <c:v>2.78</c:v>
                </c:pt>
                <c:pt idx="291">
                  <c:v>2.87</c:v>
                </c:pt>
                <c:pt idx="292">
                  <c:v>2.98</c:v>
                </c:pt>
                <c:pt idx="293">
                  <c:v>2.89</c:v>
                </c:pt>
                <c:pt idx="294">
                  <c:v>2.84</c:v>
                </c:pt>
                <c:pt idx="295">
                  <c:v>2.87</c:v>
                </c:pt>
                <c:pt idx="296">
                  <c:v>2.84</c:v>
                </c:pt>
                <c:pt idx="297">
                  <c:v>2.78</c:v>
                </c:pt>
                <c:pt idx="298">
                  <c:v>2.77</c:v>
                </c:pt>
                <c:pt idx="299">
                  <c:v>2.78</c:v>
                </c:pt>
                <c:pt idx="300">
                  <c:v>2.78</c:v>
                </c:pt>
                <c:pt idx="301">
                  <c:v>2.78</c:v>
                </c:pt>
                <c:pt idx="302">
                  <c:v>0.26</c:v>
                </c:pt>
                <c:pt idx="303">
                  <c:v>2.16</c:v>
                </c:pt>
                <c:pt idx="304">
                  <c:v>3.43</c:v>
                </c:pt>
                <c:pt idx="305">
                  <c:v>4.24</c:v>
                </c:pt>
                <c:pt idx="306">
                  <c:v>4.28</c:v>
                </c:pt>
                <c:pt idx="307">
                  <c:v>3.59</c:v>
                </c:pt>
                <c:pt idx="308">
                  <c:v>3.09</c:v>
                </c:pt>
                <c:pt idx="309">
                  <c:v>3.01</c:v>
                </c:pt>
                <c:pt idx="310">
                  <c:v>2.78</c:v>
                </c:pt>
                <c:pt idx="311">
                  <c:v>2.84</c:v>
                </c:pt>
                <c:pt idx="312">
                  <c:v>2.83</c:v>
                </c:pt>
                <c:pt idx="313">
                  <c:v>2.89</c:v>
                </c:pt>
                <c:pt idx="314">
                  <c:v>2.93</c:v>
                </c:pt>
                <c:pt idx="315">
                  <c:v>2.86</c:v>
                </c:pt>
                <c:pt idx="316">
                  <c:v>2.92</c:v>
                </c:pt>
                <c:pt idx="317">
                  <c:v>2.98</c:v>
                </c:pt>
                <c:pt idx="318">
                  <c:v>2.98</c:v>
                </c:pt>
                <c:pt idx="319">
                  <c:v>2.94</c:v>
                </c:pt>
                <c:pt idx="320">
                  <c:v>2.92</c:v>
                </c:pt>
                <c:pt idx="321">
                  <c:v>2.98</c:v>
                </c:pt>
                <c:pt idx="322">
                  <c:v>2.92</c:v>
                </c:pt>
                <c:pt idx="323">
                  <c:v>2.87</c:v>
                </c:pt>
                <c:pt idx="324">
                  <c:v>2.9</c:v>
                </c:pt>
                <c:pt idx="325">
                  <c:v>2.97</c:v>
                </c:pt>
                <c:pt idx="326">
                  <c:v>3.29</c:v>
                </c:pt>
                <c:pt idx="327">
                  <c:v>3.29</c:v>
                </c:pt>
                <c:pt idx="328">
                  <c:v>6.21</c:v>
                </c:pt>
                <c:pt idx="329">
                  <c:v>3.88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9B-4235-AC9F-41C8ADBFD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787183"/>
        <c:axId val="1839731023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'Parámetros proceso'!$J$1:$M$1</c15:sqref>
                        </c15:formulaRef>
                      </c:ext>
                    </c:extLst>
                    <c:strCache>
                      <c:ptCount val="1"/>
                      <c:pt idx="0">
                        <c:v>Lote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'Parámetros proceso'!$A$3:$A$233</c15:sqref>
                        </c15:formulaRef>
                      </c:ext>
                    </c:extLst>
                    <c:numCache>
                      <c:formatCode>General</c:formatCode>
                      <c:ptCount val="23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'Parámetros proceso'!$M$3:$M$233</c15:sqref>
                        </c15:formulaRef>
                      </c:ext>
                    </c:extLst>
                    <c:numCache>
                      <c:formatCode>General</c:formatCode>
                      <c:ptCount val="231"/>
                      <c:pt idx="0">
                        <c:v>0.26</c:v>
                      </c:pt>
                      <c:pt idx="1">
                        <c:v>2.4500000000000002</c:v>
                      </c:pt>
                      <c:pt idx="2">
                        <c:v>2.39</c:v>
                      </c:pt>
                      <c:pt idx="3">
                        <c:v>3.51</c:v>
                      </c:pt>
                      <c:pt idx="4">
                        <c:v>3.83</c:v>
                      </c:pt>
                      <c:pt idx="5">
                        <c:v>4.26</c:v>
                      </c:pt>
                      <c:pt idx="6">
                        <c:v>4.42</c:v>
                      </c:pt>
                      <c:pt idx="7">
                        <c:v>0.23</c:v>
                      </c:pt>
                      <c:pt idx="8">
                        <c:v>3</c:v>
                      </c:pt>
                      <c:pt idx="9">
                        <c:v>3.57</c:v>
                      </c:pt>
                      <c:pt idx="10">
                        <c:v>3.61</c:v>
                      </c:pt>
                      <c:pt idx="11">
                        <c:v>3.26</c:v>
                      </c:pt>
                      <c:pt idx="12">
                        <c:v>2.57</c:v>
                      </c:pt>
                      <c:pt idx="13">
                        <c:v>2.59</c:v>
                      </c:pt>
                      <c:pt idx="14">
                        <c:v>2.84</c:v>
                      </c:pt>
                      <c:pt idx="15">
                        <c:v>2.64</c:v>
                      </c:pt>
                      <c:pt idx="16">
                        <c:v>2.4700000000000002</c:v>
                      </c:pt>
                      <c:pt idx="17">
                        <c:v>2.56</c:v>
                      </c:pt>
                      <c:pt idx="18">
                        <c:v>2.61</c:v>
                      </c:pt>
                      <c:pt idx="19">
                        <c:v>2.41</c:v>
                      </c:pt>
                      <c:pt idx="20">
                        <c:v>2.76</c:v>
                      </c:pt>
                      <c:pt idx="21">
                        <c:v>2.81</c:v>
                      </c:pt>
                      <c:pt idx="22">
                        <c:v>2.87</c:v>
                      </c:pt>
                      <c:pt idx="23">
                        <c:v>2.79</c:v>
                      </c:pt>
                      <c:pt idx="24">
                        <c:v>3.94</c:v>
                      </c:pt>
                      <c:pt idx="25">
                        <c:v>2.78</c:v>
                      </c:pt>
                      <c:pt idx="26">
                        <c:v>2.44</c:v>
                      </c:pt>
                      <c:pt idx="27">
                        <c:v>2.67</c:v>
                      </c:pt>
                      <c:pt idx="28">
                        <c:v>4.25</c:v>
                      </c:pt>
                      <c:pt idx="29">
                        <c:v>3.1</c:v>
                      </c:pt>
                      <c:pt idx="30">
                        <c:v>2.4700000000000002</c:v>
                      </c:pt>
                      <c:pt idx="31">
                        <c:v>2.39</c:v>
                      </c:pt>
                      <c:pt idx="32">
                        <c:v>2.2400000000000002</c:v>
                      </c:pt>
                      <c:pt idx="33">
                        <c:v>2.27</c:v>
                      </c:pt>
                      <c:pt idx="34">
                        <c:v>2.2200000000000002</c:v>
                      </c:pt>
                      <c:pt idx="35">
                        <c:v>2.61</c:v>
                      </c:pt>
                      <c:pt idx="36">
                        <c:v>3.93</c:v>
                      </c:pt>
                      <c:pt idx="37">
                        <c:v>3.63</c:v>
                      </c:pt>
                      <c:pt idx="38">
                        <c:v>2.69</c:v>
                      </c:pt>
                      <c:pt idx="39">
                        <c:v>2.21</c:v>
                      </c:pt>
                      <c:pt idx="40">
                        <c:v>2.38</c:v>
                      </c:pt>
                      <c:pt idx="41">
                        <c:v>2.36</c:v>
                      </c:pt>
                      <c:pt idx="42">
                        <c:v>2.13</c:v>
                      </c:pt>
                      <c:pt idx="43">
                        <c:v>2.2799999999999998</c:v>
                      </c:pt>
                      <c:pt idx="44">
                        <c:v>2.38</c:v>
                      </c:pt>
                      <c:pt idx="45">
                        <c:v>2.16</c:v>
                      </c:pt>
                      <c:pt idx="46">
                        <c:v>2.0499999999999998</c:v>
                      </c:pt>
                      <c:pt idx="47">
                        <c:v>2.2799999999999998</c:v>
                      </c:pt>
                      <c:pt idx="48">
                        <c:v>2.35</c:v>
                      </c:pt>
                      <c:pt idx="49">
                        <c:v>2.16</c:v>
                      </c:pt>
                      <c:pt idx="50">
                        <c:v>2.27</c:v>
                      </c:pt>
                      <c:pt idx="51">
                        <c:v>2.56</c:v>
                      </c:pt>
                      <c:pt idx="52">
                        <c:v>3.17</c:v>
                      </c:pt>
                      <c:pt idx="53">
                        <c:v>3.09</c:v>
                      </c:pt>
                      <c:pt idx="54">
                        <c:v>2.61</c:v>
                      </c:pt>
                      <c:pt idx="55">
                        <c:v>2.54</c:v>
                      </c:pt>
                      <c:pt idx="56">
                        <c:v>2.73</c:v>
                      </c:pt>
                      <c:pt idx="57">
                        <c:v>2.42</c:v>
                      </c:pt>
                      <c:pt idx="58">
                        <c:v>2.41</c:v>
                      </c:pt>
                      <c:pt idx="59">
                        <c:v>2.5299999999999998</c:v>
                      </c:pt>
                      <c:pt idx="60">
                        <c:v>2.36</c:v>
                      </c:pt>
                      <c:pt idx="61">
                        <c:v>2.44</c:v>
                      </c:pt>
                      <c:pt idx="62">
                        <c:v>2.39</c:v>
                      </c:pt>
                      <c:pt idx="63">
                        <c:v>2.37</c:v>
                      </c:pt>
                      <c:pt idx="64">
                        <c:v>2.41</c:v>
                      </c:pt>
                      <c:pt idx="65">
                        <c:v>2.58</c:v>
                      </c:pt>
                      <c:pt idx="66">
                        <c:v>2.9</c:v>
                      </c:pt>
                      <c:pt idx="67">
                        <c:v>3.85</c:v>
                      </c:pt>
                      <c:pt idx="68">
                        <c:v>3.11</c:v>
                      </c:pt>
                      <c:pt idx="69">
                        <c:v>2.39</c:v>
                      </c:pt>
                      <c:pt idx="70">
                        <c:v>2.33</c:v>
                      </c:pt>
                      <c:pt idx="71">
                        <c:v>2.4700000000000002</c:v>
                      </c:pt>
                      <c:pt idx="72">
                        <c:v>2.08</c:v>
                      </c:pt>
                      <c:pt idx="73">
                        <c:v>2.2999999999999998</c:v>
                      </c:pt>
                      <c:pt idx="74">
                        <c:v>2.2999999999999998</c:v>
                      </c:pt>
                      <c:pt idx="75">
                        <c:v>2.36</c:v>
                      </c:pt>
                      <c:pt idx="76">
                        <c:v>2.27</c:v>
                      </c:pt>
                      <c:pt idx="77">
                        <c:v>2.27</c:v>
                      </c:pt>
                      <c:pt idx="78">
                        <c:v>2.25</c:v>
                      </c:pt>
                      <c:pt idx="79">
                        <c:v>2.2799999999999998</c:v>
                      </c:pt>
                      <c:pt idx="80">
                        <c:v>2.58</c:v>
                      </c:pt>
                      <c:pt idx="81">
                        <c:v>3.67</c:v>
                      </c:pt>
                      <c:pt idx="82">
                        <c:v>3.86</c:v>
                      </c:pt>
                      <c:pt idx="83">
                        <c:v>4.05</c:v>
                      </c:pt>
                      <c:pt idx="84">
                        <c:v>3.97</c:v>
                      </c:pt>
                      <c:pt idx="85">
                        <c:v>4.13</c:v>
                      </c:pt>
                      <c:pt idx="86">
                        <c:v>3.69</c:v>
                      </c:pt>
                      <c:pt idx="87">
                        <c:v>3.37</c:v>
                      </c:pt>
                      <c:pt idx="88">
                        <c:v>3.34</c:v>
                      </c:pt>
                      <c:pt idx="89">
                        <c:v>3.26</c:v>
                      </c:pt>
                      <c:pt idx="90">
                        <c:v>2.71</c:v>
                      </c:pt>
                      <c:pt idx="91">
                        <c:v>2.33</c:v>
                      </c:pt>
                      <c:pt idx="92">
                        <c:v>1.96</c:v>
                      </c:pt>
                      <c:pt idx="93">
                        <c:v>2.1</c:v>
                      </c:pt>
                      <c:pt idx="94">
                        <c:v>2.08</c:v>
                      </c:pt>
                      <c:pt idx="95">
                        <c:v>2.0499999999999998</c:v>
                      </c:pt>
                      <c:pt idx="96">
                        <c:v>2.33</c:v>
                      </c:pt>
                      <c:pt idx="97">
                        <c:v>2.19</c:v>
                      </c:pt>
                      <c:pt idx="98">
                        <c:v>2.2400000000000002</c:v>
                      </c:pt>
                      <c:pt idx="99">
                        <c:v>2.2400000000000002</c:v>
                      </c:pt>
                      <c:pt idx="100">
                        <c:v>2.27</c:v>
                      </c:pt>
                      <c:pt idx="101">
                        <c:v>2.33</c:v>
                      </c:pt>
                      <c:pt idx="102">
                        <c:v>2.39</c:v>
                      </c:pt>
                      <c:pt idx="103">
                        <c:v>2.41</c:v>
                      </c:pt>
                      <c:pt idx="104">
                        <c:v>2.2799999999999998</c:v>
                      </c:pt>
                      <c:pt idx="105">
                        <c:v>2.27</c:v>
                      </c:pt>
                      <c:pt idx="106">
                        <c:v>2.41</c:v>
                      </c:pt>
                      <c:pt idx="107">
                        <c:v>2.36</c:v>
                      </c:pt>
                      <c:pt idx="108">
                        <c:v>2.36</c:v>
                      </c:pt>
                      <c:pt idx="109">
                        <c:v>2.99</c:v>
                      </c:pt>
                      <c:pt idx="110">
                        <c:v>2.4500000000000002</c:v>
                      </c:pt>
                      <c:pt idx="111">
                        <c:v>2.3199999999999998</c:v>
                      </c:pt>
                      <c:pt idx="112">
                        <c:v>2.27</c:v>
                      </c:pt>
                      <c:pt idx="113">
                        <c:v>2.4500000000000002</c:v>
                      </c:pt>
                      <c:pt idx="114">
                        <c:v>2.2400000000000002</c:v>
                      </c:pt>
                      <c:pt idx="115">
                        <c:v>2.13</c:v>
                      </c:pt>
                      <c:pt idx="116">
                        <c:v>2.25</c:v>
                      </c:pt>
                      <c:pt idx="117">
                        <c:v>2.19</c:v>
                      </c:pt>
                      <c:pt idx="118">
                        <c:v>2.1</c:v>
                      </c:pt>
                      <c:pt idx="119">
                        <c:v>2.4500000000000002</c:v>
                      </c:pt>
                      <c:pt idx="120">
                        <c:v>2.1800000000000002</c:v>
                      </c:pt>
                      <c:pt idx="121">
                        <c:v>2.13</c:v>
                      </c:pt>
                      <c:pt idx="122">
                        <c:v>2.38</c:v>
                      </c:pt>
                      <c:pt idx="123">
                        <c:v>2.2999999999999998</c:v>
                      </c:pt>
                      <c:pt idx="124">
                        <c:v>3.5</c:v>
                      </c:pt>
                      <c:pt idx="125">
                        <c:v>3.69</c:v>
                      </c:pt>
                      <c:pt idx="126">
                        <c:v>2.4</c:v>
                      </c:pt>
                      <c:pt idx="127">
                        <c:v>2.71</c:v>
                      </c:pt>
                      <c:pt idx="128">
                        <c:v>2.61</c:v>
                      </c:pt>
                      <c:pt idx="129">
                        <c:v>2.06</c:v>
                      </c:pt>
                      <c:pt idx="130">
                        <c:v>1.88</c:v>
                      </c:pt>
                      <c:pt idx="131">
                        <c:v>2.0499999999999998</c:v>
                      </c:pt>
                      <c:pt idx="132">
                        <c:v>1.96</c:v>
                      </c:pt>
                      <c:pt idx="133">
                        <c:v>2.04</c:v>
                      </c:pt>
                      <c:pt idx="134">
                        <c:v>2.0699999999999998</c:v>
                      </c:pt>
                      <c:pt idx="135">
                        <c:v>2.16</c:v>
                      </c:pt>
                      <c:pt idx="136">
                        <c:v>2.19</c:v>
                      </c:pt>
                      <c:pt idx="137">
                        <c:v>2.2200000000000002</c:v>
                      </c:pt>
                      <c:pt idx="138">
                        <c:v>2.27</c:v>
                      </c:pt>
                      <c:pt idx="139">
                        <c:v>2.16</c:v>
                      </c:pt>
                      <c:pt idx="140">
                        <c:v>2.08</c:v>
                      </c:pt>
                      <c:pt idx="141">
                        <c:v>2.27</c:v>
                      </c:pt>
                      <c:pt idx="142">
                        <c:v>2.25</c:v>
                      </c:pt>
                      <c:pt idx="143">
                        <c:v>2.27</c:v>
                      </c:pt>
                      <c:pt idx="144">
                        <c:v>2.21</c:v>
                      </c:pt>
                      <c:pt idx="145">
                        <c:v>2.3199999999999998</c:v>
                      </c:pt>
                      <c:pt idx="146">
                        <c:v>2.19</c:v>
                      </c:pt>
                      <c:pt idx="147">
                        <c:v>2.33</c:v>
                      </c:pt>
                      <c:pt idx="148">
                        <c:v>2.3199999999999998</c:v>
                      </c:pt>
                      <c:pt idx="149">
                        <c:v>2.2799999999999998</c:v>
                      </c:pt>
                      <c:pt idx="150">
                        <c:v>2.16</c:v>
                      </c:pt>
                      <c:pt idx="151">
                        <c:v>2.44</c:v>
                      </c:pt>
                      <c:pt idx="152">
                        <c:v>3.42</c:v>
                      </c:pt>
                      <c:pt idx="153">
                        <c:v>3.38</c:v>
                      </c:pt>
                      <c:pt idx="154">
                        <c:v>2.38</c:v>
                      </c:pt>
                      <c:pt idx="155">
                        <c:v>2.38</c:v>
                      </c:pt>
                      <c:pt idx="156">
                        <c:v>2.36</c:v>
                      </c:pt>
                      <c:pt idx="157">
                        <c:v>2.38</c:v>
                      </c:pt>
                      <c:pt idx="158">
                        <c:v>2.19</c:v>
                      </c:pt>
                      <c:pt idx="159">
                        <c:v>2.16</c:v>
                      </c:pt>
                      <c:pt idx="160">
                        <c:v>2.2400000000000002</c:v>
                      </c:pt>
                      <c:pt idx="161">
                        <c:v>2.13</c:v>
                      </c:pt>
                      <c:pt idx="162">
                        <c:v>2.19</c:v>
                      </c:pt>
                      <c:pt idx="163">
                        <c:v>2.21</c:v>
                      </c:pt>
                      <c:pt idx="164">
                        <c:v>2.25</c:v>
                      </c:pt>
                      <c:pt idx="165">
                        <c:v>2.39</c:v>
                      </c:pt>
                      <c:pt idx="166">
                        <c:v>3.76</c:v>
                      </c:pt>
                      <c:pt idx="167">
                        <c:v>3.76</c:v>
                      </c:pt>
                      <c:pt idx="168">
                        <c:v>3.55</c:v>
                      </c:pt>
                      <c:pt idx="169">
                        <c:v>3.12</c:v>
                      </c:pt>
                      <c:pt idx="170">
                        <c:v>2.75</c:v>
                      </c:pt>
                      <c:pt idx="171">
                        <c:v>2.4900000000000002</c:v>
                      </c:pt>
                      <c:pt idx="172">
                        <c:v>2.78</c:v>
                      </c:pt>
                      <c:pt idx="173">
                        <c:v>2.98</c:v>
                      </c:pt>
                      <c:pt idx="174">
                        <c:v>3.09</c:v>
                      </c:pt>
                      <c:pt idx="175">
                        <c:v>3.49</c:v>
                      </c:pt>
                      <c:pt idx="176">
                        <c:v>3.74</c:v>
                      </c:pt>
                      <c:pt idx="177">
                        <c:v>3.68</c:v>
                      </c:pt>
                      <c:pt idx="178">
                        <c:v>3.7</c:v>
                      </c:pt>
                      <c:pt idx="179">
                        <c:v>3.25</c:v>
                      </c:pt>
                      <c:pt idx="180">
                        <c:v>2.36</c:v>
                      </c:pt>
                      <c:pt idx="181">
                        <c:v>2.33</c:v>
                      </c:pt>
                      <c:pt idx="182">
                        <c:v>2.1800000000000002</c:v>
                      </c:pt>
                      <c:pt idx="183">
                        <c:v>2.21</c:v>
                      </c:pt>
                      <c:pt idx="184">
                        <c:v>2.16</c:v>
                      </c:pt>
                      <c:pt idx="185">
                        <c:v>2.12</c:v>
                      </c:pt>
                      <c:pt idx="186">
                        <c:v>2.21</c:v>
                      </c:pt>
                      <c:pt idx="187">
                        <c:v>2.16</c:v>
                      </c:pt>
                      <c:pt idx="188">
                        <c:v>2.19</c:v>
                      </c:pt>
                      <c:pt idx="189">
                        <c:v>2.25</c:v>
                      </c:pt>
                      <c:pt idx="190">
                        <c:v>2.27</c:v>
                      </c:pt>
                      <c:pt idx="191">
                        <c:v>2.27</c:v>
                      </c:pt>
                      <c:pt idx="192">
                        <c:v>2.38</c:v>
                      </c:pt>
                      <c:pt idx="193">
                        <c:v>2.2799999999999998</c:v>
                      </c:pt>
                      <c:pt idx="194">
                        <c:v>2.33</c:v>
                      </c:pt>
                      <c:pt idx="195">
                        <c:v>2.33</c:v>
                      </c:pt>
                      <c:pt idx="196">
                        <c:v>2.42</c:v>
                      </c:pt>
                      <c:pt idx="197">
                        <c:v>2.35</c:v>
                      </c:pt>
                      <c:pt idx="198">
                        <c:v>3.15</c:v>
                      </c:pt>
                      <c:pt idx="199">
                        <c:v>3.6</c:v>
                      </c:pt>
                      <c:pt idx="200">
                        <c:v>3.49</c:v>
                      </c:pt>
                      <c:pt idx="201">
                        <c:v>3.4</c:v>
                      </c:pt>
                      <c:pt idx="202">
                        <c:v>3.52</c:v>
                      </c:pt>
                      <c:pt idx="203">
                        <c:v>3.35</c:v>
                      </c:pt>
                      <c:pt idx="204">
                        <c:v>3.43</c:v>
                      </c:pt>
                      <c:pt idx="205">
                        <c:v>3.38</c:v>
                      </c:pt>
                      <c:pt idx="206">
                        <c:v>3.49</c:v>
                      </c:pt>
                      <c:pt idx="207">
                        <c:v>3.51</c:v>
                      </c:pt>
                      <c:pt idx="208">
                        <c:v>3.57</c:v>
                      </c:pt>
                      <c:pt idx="209">
                        <c:v>3.91</c:v>
                      </c:pt>
                      <c:pt idx="210">
                        <c:v>3.57</c:v>
                      </c:pt>
                      <c:pt idx="211">
                        <c:v>3.69</c:v>
                      </c:pt>
                      <c:pt idx="212">
                        <c:v>3.67</c:v>
                      </c:pt>
                      <c:pt idx="213">
                        <c:v>3.14</c:v>
                      </c:pt>
                      <c:pt idx="214">
                        <c:v>3.12</c:v>
                      </c:pt>
                      <c:pt idx="215">
                        <c:v>2.63</c:v>
                      </c:pt>
                      <c:pt idx="216">
                        <c:v>2.4</c:v>
                      </c:pt>
                      <c:pt idx="217">
                        <c:v>2.2799999999999998</c:v>
                      </c:pt>
                      <c:pt idx="218">
                        <c:v>2.1</c:v>
                      </c:pt>
                      <c:pt idx="219">
                        <c:v>1.99</c:v>
                      </c:pt>
                      <c:pt idx="220">
                        <c:v>2.2400000000000002</c:v>
                      </c:pt>
                      <c:pt idx="221">
                        <c:v>1.96</c:v>
                      </c:pt>
                      <c:pt idx="222">
                        <c:v>1.85</c:v>
                      </c:pt>
                      <c:pt idx="223">
                        <c:v>2.1800000000000002</c:v>
                      </c:pt>
                      <c:pt idx="224">
                        <c:v>3.09</c:v>
                      </c:pt>
                      <c:pt idx="225">
                        <c:v>3.31</c:v>
                      </c:pt>
                      <c:pt idx="226">
                        <c:v>3.54</c:v>
                      </c:pt>
                      <c:pt idx="227">
                        <c:v>3.04</c:v>
                      </c:pt>
                      <c:pt idx="228">
                        <c:v>2.27</c:v>
                      </c:pt>
                      <c:pt idx="229">
                        <c:v>2.19</c:v>
                      </c:pt>
                      <c:pt idx="230">
                        <c:v>2.38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F59B-4235-AC9F-41C8ADBFDA5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'Parámetros proceso'!$N$1:$Q$1</c15:sqref>
                        </c15:formulaRef>
                      </c:ext>
                    </c:extLst>
                    <c:strCache>
                      <c:ptCount val="1"/>
                      <c:pt idx="0">
                        <c:v>Lote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'Parámetros proceso'!$A$3:$A$246</c15:sqref>
                        </c15:formulaRef>
                      </c:ext>
                    </c:extLst>
                    <c:numCache>
                      <c:formatCode>General</c:formatCode>
                      <c:ptCount val="24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'Parámetros proceso'!$Q$3:$Q$246</c15:sqref>
                        </c15:formulaRef>
                      </c:ext>
                    </c:extLst>
                    <c:numCache>
                      <c:formatCode>General</c:formatCode>
                      <c:ptCount val="244"/>
                      <c:pt idx="0">
                        <c:v>3.04</c:v>
                      </c:pt>
                      <c:pt idx="1">
                        <c:v>5.27</c:v>
                      </c:pt>
                      <c:pt idx="2">
                        <c:v>2.38</c:v>
                      </c:pt>
                      <c:pt idx="3">
                        <c:v>2.5</c:v>
                      </c:pt>
                      <c:pt idx="4">
                        <c:v>2.84</c:v>
                      </c:pt>
                      <c:pt idx="5">
                        <c:v>3.57</c:v>
                      </c:pt>
                      <c:pt idx="6">
                        <c:v>2.36</c:v>
                      </c:pt>
                      <c:pt idx="7">
                        <c:v>4</c:v>
                      </c:pt>
                      <c:pt idx="8">
                        <c:v>2.15</c:v>
                      </c:pt>
                      <c:pt idx="9">
                        <c:v>1.73</c:v>
                      </c:pt>
                      <c:pt idx="10">
                        <c:v>3.06</c:v>
                      </c:pt>
                      <c:pt idx="11">
                        <c:v>2.16</c:v>
                      </c:pt>
                      <c:pt idx="12">
                        <c:v>1.99</c:v>
                      </c:pt>
                      <c:pt idx="13">
                        <c:v>2.19</c:v>
                      </c:pt>
                      <c:pt idx="14">
                        <c:v>1.76</c:v>
                      </c:pt>
                      <c:pt idx="15">
                        <c:v>4.62</c:v>
                      </c:pt>
                      <c:pt idx="16">
                        <c:v>1.63</c:v>
                      </c:pt>
                      <c:pt idx="17">
                        <c:v>2.1</c:v>
                      </c:pt>
                      <c:pt idx="18">
                        <c:v>1.82</c:v>
                      </c:pt>
                      <c:pt idx="19">
                        <c:v>2.68</c:v>
                      </c:pt>
                      <c:pt idx="20">
                        <c:v>2.16</c:v>
                      </c:pt>
                      <c:pt idx="21">
                        <c:v>1.9</c:v>
                      </c:pt>
                      <c:pt idx="22">
                        <c:v>1.96</c:v>
                      </c:pt>
                      <c:pt idx="23">
                        <c:v>4.43</c:v>
                      </c:pt>
                      <c:pt idx="24">
                        <c:v>1.87</c:v>
                      </c:pt>
                      <c:pt idx="25">
                        <c:v>4.5599999999999996</c:v>
                      </c:pt>
                      <c:pt idx="26">
                        <c:v>2.5499999999999998</c:v>
                      </c:pt>
                      <c:pt idx="27">
                        <c:v>1.76</c:v>
                      </c:pt>
                      <c:pt idx="28">
                        <c:v>4.4800000000000004</c:v>
                      </c:pt>
                      <c:pt idx="29">
                        <c:v>1.65</c:v>
                      </c:pt>
                      <c:pt idx="30">
                        <c:v>2.0699999999999998</c:v>
                      </c:pt>
                      <c:pt idx="31">
                        <c:v>4.42</c:v>
                      </c:pt>
                      <c:pt idx="32">
                        <c:v>1.8</c:v>
                      </c:pt>
                      <c:pt idx="33">
                        <c:v>3.29</c:v>
                      </c:pt>
                      <c:pt idx="34">
                        <c:v>1.95</c:v>
                      </c:pt>
                      <c:pt idx="35">
                        <c:v>4.5199999999999996</c:v>
                      </c:pt>
                      <c:pt idx="36">
                        <c:v>2.78</c:v>
                      </c:pt>
                      <c:pt idx="37">
                        <c:v>1.73</c:v>
                      </c:pt>
                      <c:pt idx="38">
                        <c:v>4.4000000000000004</c:v>
                      </c:pt>
                      <c:pt idx="39">
                        <c:v>1.96</c:v>
                      </c:pt>
                      <c:pt idx="40">
                        <c:v>2.0099999999999998</c:v>
                      </c:pt>
                      <c:pt idx="41">
                        <c:v>2.19</c:v>
                      </c:pt>
                      <c:pt idx="42">
                        <c:v>2.41</c:v>
                      </c:pt>
                      <c:pt idx="43">
                        <c:v>1.9</c:v>
                      </c:pt>
                      <c:pt idx="44">
                        <c:v>4.07</c:v>
                      </c:pt>
                      <c:pt idx="45">
                        <c:v>2.11</c:v>
                      </c:pt>
                      <c:pt idx="46">
                        <c:v>2.0699999999999998</c:v>
                      </c:pt>
                      <c:pt idx="47">
                        <c:v>2.02</c:v>
                      </c:pt>
                      <c:pt idx="48">
                        <c:v>2.0499999999999998</c:v>
                      </c:pt>
                      <c:pt idx="49">
                        <c:v>1.87</c:v>
                      </c:pt>
                      <c:pt idx="50">
                        <c:v>2.0499999999999998</c:v>
                      </c:pt>
                      <c:pt idx="51">
                        <c:v>2.02</c:v>
                      </c:pt>
                      <c:pt idx="52">
                        <c:v>2.0699999999999998</c:v>
                      </c:pt>
                      <c:pt idx="53">
                        <c:v>2.08</c:v>
                      </c:pt>
                      <c:pt idx="54">
                        <c:v>1.96</c:v>
                      </c:pt>
                      <c:pt idx="55">
                        <c:v>2.02</c:v>
                      </c:pt>
                      <c:pt idx="56">
                        <c:v>1.99</c:v>
                      </c:pt>
                      <c:pt idx="57">
                        <c:v>2.69</c:v>
                      </c:pt>
                      <c:pt idx="58">
                        <c:v>2.98</c:v>
                      </c:pt>
                      <c:pt idx="59">
                        <c:v>4.28</c:v>
                      </c:pt>
                      <c:pt idx="60">
                        <c:v>1.82</c:v>
                      </c:pt>
                      <c:pt idx="61">
                        <c:v>2.17</c:v>
                      </c:pt>
                      <c:pt idx="62">
                        <c:v>2.16</c:v>
                      </c:pt>
                      <c:pt idx="63">
                        <c:v>1.87</c:v>
                      </c:pt>
                      <c:pt idx="64">
                        <c:v>4.51</c:v>
                      </c:pt>
                      <c:pt idx="65">
                        <c:v>1.7</c:v>
                      </c:pt>
                      <c:pt idx="66">
                        <c:v>1.64</c:v>
                      </c:pt>
                      <c:pt idx="67">
                        <c:v>1.71</c:v>
                      </c:pt>
                      <c:pt idx="68">
                        <c:v>1.87</c:v>
                      </c:pt>
                      <c:pt idx="69">
                        <c:v>4.47</c:v>
                      </c:pt>
                      <c:pt idx="70">
                        <c:v>3.8</c:v>
                      </c:pt>
                      <c:pt idx="71">
                        <c:v>2.4500000000000002</c:v>
                      </c:pt>
                      <c:pt idx="72">
                        <c:v>1.85</c:v>
                      </c:pt>
                      <c:pt idx="73">
                        <c:v>2.54</c:v>
                      </c:pt>
                      <c:pt idx="74">
                        <c:v>1.97</c:v>
                      </c:pt>
                      <c:pt idx="75">
                        <c:v>4.28</c:v>
                      </c:pt>
                      <c:pt idx="76">
                        <c:v>1.65</c:v>
                      </c:pt>
                      <c:pt idx="77">
                        <c:v>2.13</c:v>
                      </c:pt>
                      <c:pt idx="78">
                        <c:v>2.02</c:v>
                      </c:pt>
                      <c:pt idx="79">
                        <c:v>2.16</c:v>
                      </c:pt>
                      <c:pt idx="80">
                        <c:v>1.94</c:v>
                      </c:pt>
                      <c:pt idx="81">
                        <c:v>2.2799999999999998</c:v>
                      </c:pt>
                      <c:pt idx="82">
                        <c:v>2.4700000000000002</c:v>
                      </c:pt>
                      <c:pt idx="83">
                        <c:v>4.03</c:v>
                      </c:pt>
                      <c:pt idx="84">
                        <c:v>1.77</c:v>
                      </c:pt>
                      <c:pt idx="85">
                        <c:v>4.2</c:v>
                      </c:pt>
                      <c:pt idx="86">
                        <c:v>2.0699999999999998</c:v>
                      </c:pt>
                      <c:pt idx="87">
                        <c:v>1.97</c:v>
                      </c:pt>
                      <c:pt idx="88">
                        <c:v>2.04</c:v>
                      </c:pt>
                      <c:pt idx="89">
                        <c:v>1.87</c:v>
                      </c:pt>
                      <c:pt idx="90">
                        <c:v>3.19</c:v>
                      </c:pt>
                      <c:pt idx="91">
                        <c:v>2.5299999999999998</c:v>
                      </c:pt>
                      <c:pt idx="92">
                        <c:v>2.46</c:v>
                      </c:pt>
                      <c:pt idx="93">
                        <c:v>4.45</c:v>
                      </c:pt>
                      <c:pt idx="94">
                        <c:v>1.71</c:v>
                      </c:pt>
                      <c:pt idx="95">
                        <c:v>2.97</c:v>
                      </c:pt>
                      <c:pt idx="96">
                        <c:v>3.02</c:v>
                      </c:pt>
                      <c:pt idx="97">
                        <c:v>3.29</c:v>
                      </c:pt>
                      <c:pt idx="98">
                        <c:v>2.27</c:v>
                      </c:pt>
                      <c:pt idx="99">
                        <c:v>2.37</c:v>
                      </c:pt>
                      <c:pt idx="100">
                        <c:v>1.82</c:v>
                      </c:pt>
                      <c:pt idx="101">
                        <c:v>2.2999999999999998</c:v>
                      </c:pt>
                      <c:pt idx="102">
                        <c:v>1.88</c:v>
                      </c:pt>
                      <c:pt idx="103">
                        <c:v>1.94</c:v>
                      </c:pt>
                      <c:pt idx="104">
                        <c:v>1.99</c:v>
                      </c:pt>
                      <c:pt idx="105">
                        <c:v>1.68</c:v>
                      </c:pt>
                      <c:pt idx="106">
                        <c:v>3.77</c:v>
                      </c:pt>
                      <c:pt idx="107">
                        <c:v>3.18</c:v>
                      </c:pt>
                      <c:pt idx="108">
                        <c:v>3.43</c:v>
                      </c:pt>
                      <c:pt idx="109">
                        <c:v>1.42</c:v>
                      </c:pt>
                      <c:pt idx="110">
                        <c:v>2.16</c:v>
                      </c:pt>
                      <c:pt idx="111">
                        <c:v>2.0099999999999998</c:v>
                      </c:pt>
                      <c:pt idx="112">
                        <c:v>1.94</c:v>
                      </c:pt>
                      <c:pt idx="113">
                        <c:v>1.96</c:v>
                      </c:pt>
                      <c:pt idx="114">
                        <c:v>1.73</c:v>
                      </c:pt>
                      <c:pt idx="115">
                        <c:v>3.96</c:v>
                      </c:pt>
                      <c:pt idx="116">
                        <c:v>1.99</c:v>
                      </c:pt>
                      <c:pt idx="117">
                        <c:v>1.77</c:v>
                      </c:pt>
                      <c:pt idx="118">
                        <c:v>4.08</c:v>
                      </c:pt>
                      <c:pt idx="119">
                        <c:v>2.34</c:v>
                      </c:pt>
                      <c:pt idx="120">
                        <c:v>2.13</c:v>
                      </c:pt>
                      <c:pt idx="121">
                        <c:v>4.13</c:v>
                      </c:pt>
                      <c:pt idx="122">
                        <c:v>2.02</c:v>
                      </c:pt>
                      <c:pt idx="123">
                        <c:v>1.88</c:v>
                      </c:pt>
                      <c:pt idx="124">
                        <c:v>4.28</c:v>
                      </c:pt>
                      <c:pt idx="125">
                        <c:v>2.2799999999999998</c:v>
                      </c:pt>
                      <c:pt idx="126">
                        <c:v>1.73</c:v>
                      </c:pt>
                      <c:pt idx="127">
                        <c:v>2.3199999999999998</c:v>
                      </c:pt>
                      <c:pt idx="128">
                        <c:v>2.78</c:v>
                      </c:pt>
                      <c:pt idx="129">
                        <c:v>0.26</c:v>
                      </c:pt>
                      <c:pt idx="130">
                        <c:v>4.33</c:v>
                      </c:pt>
                      <c:pt idx="131">
                        <c:v>3.49</c:v>
                      </c:pt>
                      <c:pt idx="132">
                        <c:v>2.5299999999999998</c:v>
                      </c:pt>
                      <c:pt idx="133">
                        <c:v>2.04</c:v>
                      </c:pt>
                      <c:pt idx="134">
                        <c:v>2.08</c:v>
                      </c:pt>
                      <c:pt idx="135">
                        <c:v>2.4700000000000002</c:v>
                      </c:pt>
                      <c:pt idx="136">
                        <c:v>2.98</c:v>
                      </c:pt>
                      <c:pt idx="137">
                        <c:v>3.17</c:v>
                      </c:pt>
                      <c:pt idx="138">
                        <c:v>3.55</c:v>
                      </c:pt>
                      <c:pt idx="139">
                        <c:v>3.29</c:v>
                      </c:pt>
                      <c:pt idx="140">
                        <c:v>2.98</c:v>
                      </c:pt>
                      <c:pt idx="141">
                        <c:v>2.7</c:v>
                      </c:pt>
                      <c:pt idx="142">
                        <c:v>3.01</c:v>
                      </c:pt>
                      <c:pt idx="143">
                        <c:v>3.17</c:v>
                      </c:pt>
                      <c:pt idx="144">
                        <c:v>3.29</c:v>
                      </c:pt>
                      <c:pt idx="145">
                        <c:v>3.69</c:v>
                      </c:pt>
                      <c:pt idx="146">
                        <c:v>3.95</c:v>
                      </c:pt>
                      <c:pt idx="147">
                        <c:v>2.92</c:v>
                      </c:pt>
                      <c:pt idx="148">
                        <c:v>1.88</c:v>
                      </c:pt>
                      <c:pt idx="149">
                        <c:v>1.96</c:v>
                      </c:pt>
                      <c:pt idx="150">
                        <c:v>1.82</c:v>
                      </c:pt>
                      <c:pt idx="151">
                        <c:v>1.88</c:v>
                      </c:pt>
                      <c:pt idx="152">
                        <c:v>1.74</c:v>
                      </c:pt>
                      <c:pt idx="153">
                        <c:v>1.96</c:v>
                      </c:pt>
                      <c:pt idx="154">
                        <c:v>2.42</c:v>
                      </c:pt>
                      <c:pt idx="155">
                        <c:v>2.89</c:v>
                      </c:pt>
                      <c:pt idx="156">
                        <c:v>3.57</c:v>
                      </c:pt>
                      <c:pt idx="157">
                        <c:v>3.81</c:v>
                      </c:pt>
                      <c:pt idx="158">
                        <c:v>2.48</c:v>
                      </c:pt>
                      <c:pt idx="159">
                        <c:v>2.02</c:v>
                      </c:pt>
                      <c:pt idx="160">
                        <c:v>2.13</c:v>
                      </c:pt>
                      <c:pt idx="161">
                        <c:v>1.96</c:v>
                      </c:pt>
                      <c:pt idx="162">
                        <c:v>2.16</c:v>
                      </c:pt>
                      <c:pt idx="163">
                        <c:v>2.1800000000000002</c:v>
                      </c:pt>
                      <c:pt idx="164">
                        <c:v>3.4</c:v>
                      </c:pt>
                      <c:pt idx="165">
                        <c:v>3.49</c:v>
                      </c:pt>
                      <c:pt idx="166">
                        <c:v>3.8</c:v>
                      </c:pt>
                      <c:pt idx="167">
                        <c:v>3.74</c:v>
                      </c:pt>
                      <c:pt idx="168">
                        <c:v>3.53</c:v>
                      </c:pt>
                      <c:pt idx="169">
                        <c:v>2.82</c:v>
                      </c:pt>
                      <c:pt idx="170">
                        <c:v>2.19</c:v>
                      </c:pt>
                      <c:pt idx="171">
                        <c:v>2.23</c:v>
                      </c:pt>
                      <c:pt idx="172">
                        <c:v>2.1</c:v>
                      </c:pt>
                      <c:pt idx="173">
                        <c:v>2.15</c:v>
                      </c:pt>
                      <c:pt idx="174">
                        <c:v>2.1800000000000002</c:v>
                      </c:pt>
                      <c:pt idx="175">
                        <c:v>2.2200000000000002</c:v>
                      </c:pt>
                      <c:pt idx="176">
                        <c:v>2.2200000000000002</c:v>
                      </c:pt>
                      <c:pt idx="177">
                        <c:v>2.21</c:v>
                      </c:pt>
                      <c:pt idx="178">
                        <c:v>2.16</c:v>
                      </c:pt>
                      <c:pt idx="179">
                        <c:v>1.9</c:v>
                      </c:pt>
                      <c:pt idx="180">
                        <c:v>2.1</c:v>
                      </c:pt>
                      <c:pt idx="181">
                        <c:v>2.11</c:v>
                      </c:pt>
                      <c:pt idx="182">
                        <c:v>2.13</c:v>
                      </c:pt>
                      <c:pt idx="183">
                        <c:v>2.1800000000000002</c:v>
                      </c:pt>
                      <c:pt idx="184">
                        <c:v>2.2400000000000002</c:v>
                      </c:pt>
                      <c:pt idx="185">
                        <c:v>2.33</c:v>
                      </c:pt>
                      <c:pt idx="186">
                        <c:v>2.69</c:v>
                      </c:pt>
                      <c:pt idx="187">
                        <c:v>3.46</c:v>
                      </c:pt>
                      <c:pt idx="188">
                        <c:v>3.43</c:v>
                      </c:pt>
                      <c:pt idx="189">
                        <c:v>3.57</c:v>
                      </c:pt>
                      <c:pt idx="190">
                        <c:v>3.57</c:v>
                      </c:pt>
                      <c:pt idx="191">
                        <c:v>2.06</c:v>
                      </c:pt>
                      <c:pt idx="192">
                        <c:v>1.96</c:v>
                      </c:pt>
                      <c:pt idx="193">
                        <c:v>1.96</c:v>
                      </c:pt>
                      <c:pt idx="194">
                        <c:v>2.08</c:v>
                      </c:pt>
                      <c:pt idx="195">
                        <c:v>1.87</c:v>
                      </c:pt>
                      <c:pt idx="196">
                        <c:v>2.1</c:v>
                      </c:pt>
                      <c:pt idx="197">
                        <c:v>2.25</c:v>
                      </c:pt>
                      <c:pt idx="198">
                        <c:v>2.78</c:v>
                      </c:pt>
                      <c:pt idx="199">
                        <c:v>3.2</c:v>
                      </c:pt>
                      <c:pt idx="200">
                        <c:v>3.67</c:v>
                      </c:pt>
                      <c:pt idx="201">
                        <c:v>3.19</c:v>
                      </c:pt>
                      <c:pt idx="202">
                        <c:v>2.11</c:v>
                      </c:pt>
                      <c:pt idx="203">
                        <c:v>2.11</c:v>
                      </c:pt>
                      <c:pt idx="204">
                        <c:v>2.16</c:v>
                      </c:pt>
                      <c:pt idx="205">
                        <c:v>2.12</c:v>
                      </c:pt>
                      <c:pt idx="206">
                        <c:v>2.27</c:v>
                      </c:pt>
                      <c:pt idx="207">
                        <c:v>2.19</c:v>
                      </c:pt>
                      <c:pt idx="208">
                        <c:v>2.61</c:v>
                      </c:pt>
                      <c:pt idx="209">
                        <c:v>2.72</c:v>
                      </c:pt>
                      <c:pt idx="210">
                        <c:v>2.78</c:v>
                      </c:pt>
                      <c:pt idx="211">
                        <c:v>2.33</c:v>
                      </c:pt>
                      <c:pt idx="212">
                        <c:v>2.27</c:v>
                      </c:pt>
                      <c:pt idx="213">
                        <c:v>2.2999999999999998</c:v>
                      </c:pt>
                      <c:pt idx="214">
                        <c:v>2.27</c:v>
                      </c:pt>
                      <c:pt idx="215">
                        <c:v>2.3199999999999998</c:v>
                      </c:pt>
                      <c:pt idx="216">
                        <c:v>2.2999999999999998</c:v>
                      </c:pt>
                      <c:pt idx="217">
                        <c:v>2.3199999999999998</c:v>
                      </c:pt>
                      <c:pt idx="218">
                        <c:v>2.41</c:v>
                      </c:pt>
                      <c:pt idx="219">
                        <c:v>2.39</c:v>
                      </c:pt>
                      <c:pt idx="220">
                        <c:v>2.38</c:v>
                      </c:pt>
                      <c:pt idx="221">
                        <c:v>2.44</c:v>
                      </c:pt>
                      <c:pt idx="222">
                        <c:v>2.38</c:v>
                      </c:pt>
                      <c:pt idx="223">
                        <c:v>3.35</c:v>
                      </c:pt>
                      <c:pt idx="224">
                        <c:v>2.58</c:v>
                      </c:pt>
                      <c:pt idx="225">
                        <c:v>2.59</c:v>
                      </c:pt>
                      <c:pt idx="226">
                        <c:v>2.67</c:v>
                      </c:pt>
                      <c:pt idx="227">
                        <c:v>2.4900000000000002</c:v>
                      </c:pt>
                      <c:pt idx="228">
                        <c:v>2.61</c:v>
                      </c:pt>
                      <c:pt idx="229">
                        <c:v>2.73</c:v>
                      </c:pt>
                      <c:pt idx="230">
                        <c:v>2.75</c:v>
                      </c:pt>
                      <c:pt idx="231">
                        <c:v>2.66</c:v>
                      </c:pt>
                      <c:pt idx="232">
                        <c:v>2.7</c:v>
                      </c:pt>
                      <c:pt idx="233">
                        <c:v>2.69</c:v>
                      </c:pt>
                      <c:pt idx="234">
                        <c:v>2.61</c:v>
                      </c:pt>
                      <c:pt idx="235">
                        <c:v>2.56</c:v>
                      </c:pt>
                      <c:pt idx="236">
                        <c:v>2.58</c:v>
                      </c:pt>
                      <c:pt idx="237">
                        <c:v>2.52</c:v>
                      </c:pt>
                      <c:pt idx="238">
                        <c:v>2.4700000000000002</c:v>
                      </c:pt>
                      <c:pt idx="239">
                        <c:v>2.4700000000000002</c:v>
                      </c:pt>
                      <c:pt idx="240">
                        <c:v>2.5</c:v>
                      </c:pt>
                      <c:pt idx="241">
                        <c:v>2.84</c:v>
                      </c:pt>
                      <c:pt idx="242">
                        <c:v>3</c:v>
                      </c:pt>
                      <c:pt idx="243">
                        <c:v>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59B-4235-AC9F-41C8ADBFDA5C}"/>
                  </c:ext>
                </c:extLst>
              </c15:ser>
            </c15:filteredScatterSeries>
          </c:ext>
        </c:extLst>
      </c:scatterChart>
      <c:valAx>
        <c:axId val="1839787183"/>
        <c:scaling>
          <c:orientation val="minMax"/>
          <c:max val="3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200" b="1"/>
                  <a:t>Tiempo</a:t>
                </a:r>
                <a:r>
                  <a:rPr lang="es-ES" sz="1200" b="1" baseline="0"/>
                  <a:t> [min]</a:t>
                </a:r>
                <a:endParaRPr lang="es-E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9731023"/>
        <c:crosses val="autoZero"/>
        <c:crossBetween val="midCat"/>
        <c:majorUnit val="20"/>
      </c:valAx>
      <c:valAx>
        <c:axId val="1839731023"/>
        <c:scaling>
          <c:orientation val="minMax"/>
          <c:max val="6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200" b="1"/>
                  <a:t>Veocidad aire </a:t>
                </a:r>
                <a:r>
                  <a:rPr lang="es-ES" sz="1200" b="1" baseline="0"/>
                  <a:t>[m/s]</a:t>
                </a:r>
                <a:endParaRPr lang="es-ES" sz="1200" b="1"/>
              </a:p>
            </c:rich>
          </c:tx>
          <c:layout>
            <c:manualLayout>
              <c:xMode val="edge"/>
              <c:yMode val="edge"/>
              <c:x val="1.3108614232209739E-2"/>
              <c:y val="0.342851421565355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978718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012150166622434"/>
          <c:y val="4.09686571653331E-2"/>
          <c:w val="0.52201332979444981"/>
          <c:h val="7.3789685236685235E-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image" Target="../media/image1.png"/><Relationship Id="rId1" Type="http://schemas.openxmlformats.org/officeDocument/2006/relationships/chart" Target="../charts/chart10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</xdr:colOff>
      <xdr:row>15</xdr:row>
      <xdr:rowOff>4762</xdr:rowOff>
    </xdr:from>
    <xdr:to>
      <xdr:col>8</xdr:col>
      <xdr:colOff>685799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5D0D6F-EF77-AE7A-56A4-90C25FA2C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142875</xdr:colOff>
      <xdr:row>15</xdr:row>
      <xdr:rowOff>0</xdr:rowOff>
    </xdr:from>
    <xdr:to>
      <xdr:col>18</xdr:col>
      <xdr:colOff>628650</xdr:colOff>
      <xdr:row>29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FB8296-0BB0-41FA-AD15-81DCAB275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742950</xdr:colOff>
      <xdr:row>15</xdr:row>
      <xdr:rowOff>14287</xdr:rowOff>
    </xdr:from>
    <xdr:to>
      <xdr:col>7</xdr:col>
      <xdr:colOff>742950</xdr:colOff>
      <xdr:row>29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D63375-7092-4745-AD98-7EE7EF242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76199</xdr:colOff>
      <xdr:row>14</xdr:row>
      <xdr:rowOff>171450</xdr:rowOff>
    </xdr:from>
    <xdr:to>
      <xdr:col>18</xdr:col>
      <xdr:colOff>676274</xdr:colOff>
      <xdr:row>28</xdr:row>
      <xdr:rowOff>142875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49EE55-85DD-487F-B1EC-64B5B38F7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15</xdr:row>
      <xdr:rowOff>52387</xdr:rowOff>
    </xdr:from>
    <xdr:to>
      <xdr:col>7</xdr:col>
      <xdr:colOff>57150</xdr:colOff>
      <xdr:row>29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BF1B8C-48F3-4F53-BC70-A5288C361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15</xdr:row>
      <xdr:rowOff>0</xdr:rowOff>
    </xdr:from>
    <xdr:to>
      <xdr:col>18</xdr:col>
      <xdr:colOff>657225</xdr:colOff>
      <xdr:row>29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565BFF-4A0E-41C8-9AA0-20BFBB2BC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347133</xdr:colOff>
      <xdr:row>15</xdr:row>
      <xdr:rowOff>29104</xdr:rowOff>
    </xdr:from>
    <xdr:to>
      <xdr:col>7</xdr:col>
      <xdr:colOff>347133</xdr:colOff>
      <xdr:row>29</xdr:row>
      <xdr:rowOff>105304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B1663B-8F45-4D06-8582-AC3826169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85725</xdr:colOff>
      <xdr:row>14</xdr:row>
      <xdr:rowOff>85725</xdr:rowOff>
    </xdr:from>
    <xdr:to>
      <xdr:col>18</xdr:col>
      <xdr:colOff>657225</xdr:colOff>
      <xdr:row>28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4CEE75-57C5-4D7A-80B6-68AFDE069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423332</xdr:colOff>
      <xdr:row>59</xdr:row>
      <xdr:rowOff>136525</xdr:rowOff>
    </xdr:from>
    <xdr:to>
      <xdr:col>8</xdr:col>
      <xdr:colOff>190499</xdr:colOff>
      <xdr:row>81</xdr:row>
      <xdr:rowOff>158751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B7DEC2D-FD42-266D-88EC-92208839A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14</xdr:row>
      <xdr:rowOff>4762</xdr:rowOff>
    </xdr:from>
    <xdr:to>
      <xdr:col>8</xdr:col>
      <xdr:colOff>133350</xdr:colOff>
      <xdr:row>26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D6FB02-F44A-067C-F7B3-11E79C878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85726</xdr:colOff>
      <xdr:row>13</xdr:row>
      <xdr:rowOff>85726</xdr:rowOff>
    </xdr:from>
    <xdr:to>
      <xdr:col>16</xdr:col>
      <xdr:colOff>95251</xdr:colOff>
      <xdr:row>15</xdr:row>
      <xdr:rowOff>150512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85BACB-8352-D2B1-F011-BC6C78575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1" y="2714626"/>
          <a:ext cx="1695450" cy="445786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152400</xdr:colOff>
      <xdr:row>27</xdr:row>
      <xdr:rowOff>66675</xdr:rowOff>
    </xdr:from>
    <xdr:to>
      <xdr:col>8</xdr:col>
      <xdr:colOff>57150</xdr:colOff>
      <xdr:row>39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25A674-4BF1-4404-9FC0-A09C1EFD9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238124</xdr:colOff>
      <xdr:row>53</xdr:row>
      <xdr:rowOff>80961</xdr:rowOff>
    </xdr:from>
    <xdr:to>
      <xdr:col>8</xdr:col>
      <xdr:colOff>142875</xdr:colOff>
      <xdr:row>69</xdr:row>
      <xdr:rowOff>28574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B3B760C-E185-E4E8-FF60-34DCB44AB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58</xdr:row>
      <xdr:rowOff>61912</xdr:rowOff>
    </xdr:from>
    <xdr:to>
      <xdr:col>17</xdr:col>
      <xdr:colOff>428625</xdr:colOff>
      <xdr:row>68</xdr:row>
      <xdr:rowOff>152400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F00A56D-59CA-AD06-61E8-7C4D3D2A1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552450</xdr:colOff>
      <xdr:row>23</xdr:row>
      <xdr:rowOff>152400</xdr:rowOff>
    </xdr:from>
    <xdr:to>
      <xdr:col>17</xdr:col>
      <xdr:colOff>361949</xdr:colOff>
      <xdr:row>35</xdr:row>
      <xdr:rowOff>161925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EB832C1-764E-4F8C-92B3-3C9D4F13F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561974</xdr:colOff>
      <xdr:row>36</xdr:row>
      <xdr:rowOff>38100</xdr:rowOff>
    </xdr:from>
    <xdr:to>
      <xdr:col>17</xdr:col>
      <xdr:colOff>380999</xdr:colOff>
      <xdr:row>47</xdr:row>
      <xdr:rowOff>28575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4F5EE59-AA96-460B-9409-CCB7916CD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552449</xdr:colOff>
      <xdr:row>47</xdr:row>
      <xdr:rowOff>133350</xdr:rowOff>
    </xdr:from>
    <xdr:to>
      <xdr:col>17</xdr:col>
      <xdr:colOff>371474</xdr:colOff>
      <xdr:row>57</xdr:row>
      <xdr:rowOff>161925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0975800-08FF-4C54-A932-100B11CC4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152400</xdr:colOff>
      <xdr:row>40</xdr:row>
      <xdr:rowOff>0</xdr:rowOff>
    </xdr:from>
    <xdr:to>
      <xdr:col>8</xdr:col>
      <xdr:colOff>57150</xdr:colOff>
      <xdr:row>52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78F0B9C-9DBD-40C0-A41D-69BD7646F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</xdr:colOff>
      <xdr:row>7</xdr:row>
      <xdr:rowOff>138111</xdr:rowOff>
    </xdr:from>
    <xdr:to>
      <xdr:col>26</xdr:col>
      <xdr:colOff>695325</xdr:colOff>
      <xdr:row>27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44ED12-D7B0-8A4C-D39C-EB60C3F0F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28</xdr:row>
      <xdr:rowOff>0</xdr:rowOff>
    </xdr:from>
    <xdr:to>
      <xdr:col>26</xdr:col>
      <xdr:colOff>685800</xdr:colOff>
      <xdr:row>47</xdr:row>
      <xdr:rowOff>80963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2AD52E7-294A-4D29-A3E4-258699416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48</xdr:row>
      <xdr:rowOff>0</xdr:rowOff>
    </xdr:from>
    <xdr:to>
      <xdr:col>26</xdr:col>
      <xdr:colOff>685800</xdr:colOff>
      <xdr:row>67</xdr:row>
      <xdr:rowOff>80963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4DA544-7725-4FA1-A501-2806AED08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69</xdr:row>
      <xdr:rowOff>0</xdr:rowOff>
    </xdr:from>
    <xdr:to>
      <xdr:col>26</xdr:col>
      <xdr:colOff>685800</xdr:colOff>
      <xdr:row>88</xdr:row>
      <xdr:rowOff>80963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78B134-9CF7-4E53-A726-A5459A7F0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5E2D-E07B-4896-BE75-87570AE6F4AE}">
  <dimension ref="A2:AA24"/>
  <sheetViews>
    <sheetView tabSelected="1" workbookViewId="0">
      <pane xSplit="1" topLeftCell="B1" activePane="topRight" state="frozen"/>
      <selection pane="topRight" activeCell="U7" sqref="U7:Y11"/>
    </sheetView>
  </sheetViews>
  <sheetFormatPr baseColWidth="10" defaultColWidth="11.42578125" defaultRowHeight="15" x14ac:dyDescent="0.25"/>
  <cols>
    <col min="9" max="9" width="11.7109375" bestFit="1" customWidth="1"/>
  </cols>
  <sheetData>
    <row r="2" spans="1:27" s="5" customFormat="1" x14ac:dyDescent="0.25">
      <c r="A2" s="150" t="s">
        <v>0</v>
      </c>
      <c r="B2" s="150" t="s">
        <v>1</v>
      </c>
      <c r="C2" s="148" t="s">
        <v>2</v>
      </c>
      <c r="D2" s="149"/>
      <c r="E2" s="149"/>
      <c r="F2" s="149"/>
      <c r="G2" s="149"/>
      <c r="H2" s="152" t="s">
        <v>3</v>
      </c>
      <c r="I2" s="146" t="s">
        <v>4</v>
      </c>
      <c r="J2" s="149" t="s">
        <v>5</v>
      </c>
      <c r="K2" s="149"/>
      <c r="L2" s="149"/>
      <c r="M2" s="152" t="s">
        <v>3</v>
      </c>
      <c r="N2" s="146" t="s">
        <v>4</v>
      </c>
      <c r="O2" s="148" t="s">
        <v>6</v>
      </c>
      <c r="P2" s="149"/>
      <c r="Q2" s="149"/>
      <c r="R2" s="152" t="s">
        <v>3</v>
      </c>
      <c r="S2" s="146" t="s">
        <v>4</v>
      </c>
      <c r="T2" s="148" t="s">
        <v>7</v>
      </c>
      <c r="U2" s="149"/>
      <c r="V2" s="149"/>
      <c r="W2" s="148" t="s">
        <v>8</v>
      </c>
      <c r="X2" s="149"/>
      <c r="Y2" s="149"/>
      <c r="Z2" s="152" t="s">
        <v>3</v>
      </c>
      <c r="AA2" s="146" t="s">
        <v>4</v>
      </c>
    </row>
    <row r="3" spans="1:27" s="38" customFormat="1" x14ac:dyDescent="0.25">
      <c r="A3" s="151"/>
      <c r="B3" s="151"/>
      <c r="C3" s="37">
        <v>1</v>
      </c>
      <c r="D3" s="134">
        <v>2</v>
      </c>
      <c r="E3" s="134">
        <v>3</v>
      </c>
      <c r="F3" s="134">
        <v>4</v>
      </c>
      <c r="G3" s="134">
        <v>5</v>
      </c>
      <c r="H3" s="153"/>
      <c r="I3" s="147"/>
      <c r="J3" s="134">
        <v>1</v>
      </c>
      <c r="K3" s="134">
        <v>2</v>
      </c>
      <c r="L3" s="134">
        <v>3</v>
      </c>
      <c r="M3" s="153"/>
      <c r="N3" s="147"/>
      <c r="O3" s="37">
        <v>1</v>
      </c>
      <c r="P3" s="134">
        <v>2</v>
      </c>
      <c r="Q3" s="134">
        <v>3</v>
      </c>
      <c r="R3" s="153"/>
      <c r="S3" s="147"/>
      <c r="T3" s="37">
        <v>1</v>
      </c>
      <c r="U3" s="134">
        <v>2</v>
      </c>
      <c r="V3" s="134">
        <v>3</v>
      </c>
      <c r="W3" s="37">
        <v>1</v>
      </c>
      <c r="X3" s="134">
        <v>2</v>
      </c>
      <c r="Y3" s="134">
        <v>3</v>
      </c>
      <c r="Z3" s="153"/>
      <c r="AA3" s="147"/>
    </row>
    <row r="4" spans="1:27" x14ac:dyDescent="0.25">
      <c r="A4" s="34">
        <v>0</v>
      </c>
      <c r="B4" s="34">
        <v>0</v>
      </c>
      <c r="C4" s="18">
        <v>1523</v>
      </c>
      <c r="D4" s="6">
        <v>1499</v>
      </c>
      <c r="E4" s="6">
        <v>1493</v>
      </c>
      <c r="F4" s="6">
        <v>1496</v>
      </c>
      <c r="G4" s="6">
        <v>1501</v>
      </c>
      <c r="H4" s="40">
        <f>ROUNDDOWN(AVERAGE(C4:G4),0)</f>
        <v>1502</v>
      </c>
      <c r="I4" s="41">
        <f>_xlfn.STDEV.S(C4:G4)</f>
        <v>11.907980517283358</v>
      </c>
      <c r="J4" s="36">
        <v>0.93200000000000005</v>
      </c>
      <c r="K4" s="36"/>
      <c r="L4" s="36"/>
      <c r="M4" s="58">
        <f>AVERAGE(J4:L4)</f>
        <v>0.93200000000000005</v>
      </c>
      <c r="N4" s="41" t="e">
        <f t="shared" ref="N4:N14" si="0">_xlfn.STDEV.S(J4:L4)</f>
        <v>#DIV/0!</v>
      </c>
      <c r="O4" s="36">
        <v>0</v>
      </c>
      <c r="P4" s="36">
        <v>0</v>
      </c>
      <c r="Q4" s="36">
        <v>0</v>
      </c>
      <c r="R4" s="58">
        <f>AVERAGE(O4:Q4)</f>
        <v>0</v>
      </c>
      <c r="S4" s="41">
        <f t="shared" ref="S4:S14" si="1">_xlfn.STDEV.S(O4:Q4)</f>
        <v>0</v>
      </c>
      <c r="T4" s="36">
        <v>0.92310000000000003</v>
      </c>
      <c r="U4" s="56">
        <v>0.91100000000000003</v>
      </c>
      <c r="V4" s="56">
        <v>0.92200000000000004</v>
      </c>
      <c r="W4" s="130">
        <v>0.89259999999999995</v>
      </c>
      <c r="X4" s="109">
        <v>0.88680000000000003</v>
      </c>
      <c r="Y4" s="109">
        <v>0.87939999999999996</v>
      </c>
      <c r="Z4" s="58">
        <f>AVERAGE(T4:Y4)</f>
        <v>0.90248333333333319</v>
      </c>
      <c r="AA4" s="128">
        <f>_xlfn.STDEV.S(T4:Y4)</f>
        <v>1.8734824970270413E-2</v>
      </c>
    </row>
    <row r="5" spans="1:27" x14ac:dyDescent="0.25">
      <c r="A5" s="34">
        <v>1</v>
      </c>
      <c r="B5" s="34">
        <v>20</v>
      </c>
      <c r="C5" s="19">
        <v>1491</v>
      </c>
      <c r="D5" s="1">
        <v>1515</v>
      </c>
      <c r="E5" s="1">
        <v>1512</v>
      </c>
      <c r="F5" s="1">
        <v>1524</v>
      </c>
      <c r="G5" s="1">
        <v>1510</v>
      </c>
      <c r="H5" s="40">
        <f t="shared" ref="H5:H14" si="2">ROUNDDOWN(AVERAGE(C5:G5),0)</f>
        <v>1510</v>
      </c>
      <c r="I5" s="41">
        <f t="shared" ref="I5:I14" si="3">_xlfn.STDEV.S(C5:G5)</f>
        <v>12.095453691366853</v>
      </c>
      <c r="J5" s="36">
        <v>0.92</v>
      </c>
      <c r="K5" s="36"/>
      <c r="L5" s="36"/>
      <c r="M5" s="58">
        <f t="shared" ref="M5:M14" si="4">AVERAGE(J5:L5)</f>
        <v>0.92</v>
      </c>
      <c r="N5" s="41" t="e">
        <f t="shared" si="0"/>
        <v>#DIV/0!</v>
      </c>
      <c r="O5" s="35">
        <v>0</v>
      </c>
      <c r="P5" s="36"/>
      <c r="Q5" s="36"/>
      <c r="R5" s="58">
        <f t="shared" ref="R5:R14" si="5">AVERAGE(O5:Q5)</f>
        <v>0</v>
      </c>
      <c r="S5" s="41" t="e">
        <f t="shared" si="1"/>
        <v>#DIV/0!</v>
      </c>
      <c r="T5" s="56">
        <v>0.92530000000000001</v>
      </c>
      <c r="U5" s="56">
        <v>0.92220000000000002</v>
      </c>
      <c r="V5" s="56">
        <v>0.92530000000000001</v>
      </c>
      <c r="W5" s="55">
        <v>0.90439999999999998</v>
      </c>
      <c r="X5" s="56">
        <v>0.89559999999999995</v>
      </c>
      <c r="Y5" s="56">
        <v>0.88680000000000003</v>
      </c>
      <c r="Z5" s="58">
        <f>AVERAGE(T5:Y5)</f>
        <v>0.90993333333333337</v>
      </c>
      <c r="AA5" s="128">
        <f>_xlfn.STDEV.S(T5:Y5)</f>
        <v>1.6697025683236728E-2</v>
      </c>
    </row>
    <row r="6" spans="1:27" x14ac:dyDescent="0.25">
      <c r="A6" s="34">
        <v>2</v>
      </c>
      <c r="B6" s="34">
        <v>40</v>
      </c>
      <c r="C6" s="19">
        <v>1485</v>
      </c>
      <c r="D6" s="1">
        <v>1490</v>
      </c>
      <c r="E6" s="1">
        <v>1507</v>
      </c>
      <c r="F6" s="1">
        <v>1511</v>
      </c>
      <c r="G6" s="1">
        <v>1500</v>
      </c>
      <c r="H6" s="40">
        <f t="shared" si="2"/>
        <v>1498</v>
      </c>
      <c r="I6" s="41">
        <f t="shared" si="3"/>
        <v>11.013627921806693</v>
      </c>
      <c r="J6" s="36">
        <v>0.95</v>
      </c>
      <c r="K6" s="36"/>
      <c r="L6" s="36"/>
      <c r="M6" s="58">
        <f t="shared" si="4"/>
        <v>0.95</v>
      </c>
      <c r="N6" s="41" t="e">
        <f t="shared" si="0"/>
        <v>#DIV/0!</v>
      </c>
      <c r="O6" s="35">
        <v>0</v>
      </c>
      <c r="P6" s="36"/>
      <c r="Q6" s="36"/>
      <c r="R6" s="58">
        <f t="shared" si="5"/>
        <v>0</v>
      </c>
      <c r="S6" s="41" t="e">
        <f t="shared" si="1"/>
        <v>#DIV/0!</v>
      </c>
      <c r="T6" s="55">
        <v>0.93736263736263736</v>
      </c>
      <c r="U6" s="56">
        <v>0.93956043956043955</v>
      </c>
      <c r="V6" s="56">
        <v>0.94065934065934065</v>
      </c>
      <c r="W6" s="55">
        <v>0.89999999999999991</v>
      </c>
      <c r="X6" s="56">
        <v>0.91470588235294115</v>
      </c>
      <c r="Y6" s="56">
        <v>0.8985294117647058</v>
      </c>
      <c r="Z6" s="58">
        <f t="shared" ref="Z6:Z14" si="6">AVERAGE(T6:Y6)</f>
        <v>0.92180295195001072</v>
      </c>
      <c r="AA6" s="128">
        <f t="shared" ref="AA6:AA14" si="7">_xlfn.STDEV.S(T6:Y6)</f>
        <v>1.9901710252583409E-2</v>
      </c>
    </row>
    <row r="7" spans="1:27" x14ac:dyDescent="0.25">
      <c r="A7" s="34">
        <v>3</v>
      </c>
      <c r="B7" s="34">
        <v>60</v>
      </c>
      <c r="C7" s="19">
        <v>1473</v>
      </c>
      <c r="D7" s="1">
        <v>1489</v>
      </c>
      <c r="E7" s="1">
        <v>1480</v>
      </c>
      <c r="F7" s="1">
        <v>1457</v>
      </c>
      <c r="G7" s="1">
        <v>1489</v>
      </c>
      <c r="H7" s="40">
        <f t="shared" si="2"/>
        <v>1477</v>
      </c>
      <c r="I7" s="41">
        <f t="shared" si="3"/>
        <v>13.334166640626627</v>
      </c>
      <c r="J7" s="36">
        <v>0.91</v>
      </c>
      <c r="K7" s="36"/>
      <c r="L7" s="36"/>
      <c r="M7" s="58">
        <f t="shared" si="4"/>
        <v>0.91</v>
      </c>
      <c r="N7" s="41" t="e">
        <f t="shared" si="0"/>
        <v>#DIV/0!</v>
      </c>
      <c r="O7" s="35">
        <v>0</v>
      </c>
      <c r="P7" s="36"/>
      <c r="Q7" s="36"/>
      <c r="R7" s="58">
        <f t="shared" si="5"/>
        <v>0</v>
      </c>
      <c r="S7" s="41" t="e">
        <f t="shared" si="1"/>
        <v>#DIV/0!</v>
      </c>
      <c r="T7" s="56">
        <v>0.93406593406593397</v>
      </c>
      <c r="U7" s="56">
        <v>0.94945054945054941</v>
      </c>
      <c r="V7" s="56">
        <v>0.94835164835164831</v>
      </c>
      <c r="W7" s="55">
        <v>0.91470588235294115</v>
      </c>
      <c r="X7" s="56">
        <v>0.91617647058823526</v>
      </c>
      <c r="Y7" s="56">
        <v>0.9102941176470587</v>
      </c>
      <c r="Z7" s="58">
        <f t="shared" si="6"/>
        <v>0.92884076707606111</v>
      </c>
      <c r="AA7" s="128">
        <f t="shared" si="7"/>
        <v>1.7532242095383288E-2</v>
      </c>
    </row>
    <row r="8" spans="1:27" x14ac:dyDescent="0.25">
      <c r="A8" s="34">
        <v>4</v>
      </c>
      <c r="B8" s="34">
        <v>80</v>
      </c>
      <c r="C8" s="19">
        <v>1439</v>
      </c>
      <c r="D8" s="1">
        <v>1450</v>
      </c>
      <c r="E8" s="1">
        <v>1471</v>
      </c>
      <c r="F8" s="1">
        <v>1477</v>
      </c>
      <c r="G8" s="1">
        <v>1448</v>
      </c>
      <c r="H8" s="40">
        <f t="shared" si="2"/>
        <v>1457</v>
      </c>
      <c r="I8" s="41">
        <f t="shared" si="3"/>
        <v>16.201851746019649</v>
      </c>
      <c r="J8" s="36">
        <v>0.95</v>
      </c>
      <c r="K8" s="36"/>
      <c r="L8" s="36"/>
      <c r="M8" s="58">
        <f t="shared" si="4"/>
        <v>0.95</v>
      </c>
      <c r="N8" s="41" t="e">
        <f t="shared" si="0"/>
        <v>#DIV/0!</v>
      </c>
      <c r="O8" s="35">
        <v>0</v>
      </c>
      <c r="P8" s="36"/>
      <c r="Q8" s="36"/>
      <c r="R8" s="58">
        <f t="shared" si="5"/>
        <v>0</v>
      </c>
      <c r="S8" s="41" t="e">
        <f t="shared" si="1"/>
        <v>#DIV/0!</v>
      </c>
      <c r="T8" s="56">
        <v>0.95604395604395598</v>
      </c>
      <c r="U8" s="56">
        <v>0.9516483516483516</v>
      </c>
      <c r="V8" s="56">
        <v>0.95274725274725269</v>
      </c>
      <c r="W8" s="127">
        <v>0.92205882352941171</v>
      </c>
      <c r="X8" s="66">
        <v>0.91764705882352937</v>
      </c>
      <c r="Y8" s="56">
        <v>0.91911764705882348</v>
      </c>
      <c r="Z8" s="58">
        <f t="shared" si="6"/>
        <v>0.93654384830855408</v>
      </c>
      <c r="AA8" s="128">
        <f t="shared" si="7"/>
        <v>1.8662945233419586E-2</v>
      </c>
    </row>
    <row r="9" spans="1:27" x14ac:dyDescent="0.25">
      <c r="A9" s="34">
        <v>5</v>
      </c>
      <c r="B9" s="34">
        <v>100</v>
      </c>
      <c r="C9" s="19">
        <v>1441</v>
      </c>
      <c r="D9" s="1">
        <v>1431</v>
      </c>
      <c r="E9" s="1">
        <v>1443</v>
      </c>
      <c r="F9" s="1">
        <v>1440</v>
      </c>
      <c r="G9" s="1">
        <v>1460</v>
      </c>
      <c r="H9" s="40">
        <f t="shared" si="2"/>
        <v>1443</v>
      </c>
      <c r="I9" s="41">
        <f t="shared" si="3"/>
        <v>10.559356040971437</v>
      </c>
      <c r="J9" s="36">
        <v>0.93</v>
      </c>
      <c r="K9" s="36"/>
      <c r="L9" s="36"/>
      <c r="M9" s="58">
        <f t="shared" si="4"/>
        <v>0.93</v>
      </c>
      <c r="N9" s="41" t="e">
        <f t="shared" si="0"/>
        <v>#DIV/0!</v>
      </c>
      <c r="O9" s="35">
        <v>0.01</v>
      </c>
      <c r="P9" s="36"/>
      <c r="Q9" s="36"/>
      <c r="R9" s="58">
        <f t="shared" si="5"/>
        <v>0.01</v>
      </c>
      <c r="S9" s="41" t="e">
        <f t="shared" si="1"/>
        <v>#DIV/0!</v>
      </c>
      <c r="T9" s="66">
        <v>0.95274725274725269</v>
      </c>
      <c r="U9" s="56">
        <v>0.97032967032967032</v>
      </c>
      <c r="V9" s="56">
        <v>0.95604395604395598</v>
      </c>
      <c r="W9" s="127">
        <v>0.91764705882352937</v>
      </c>
      <c r="X9" s="56">
        <v>0.92205882352941171</v>
      </c>
      <c r="Y9" s="56">
        <v>0.92352941176470582</v>
      </c>
      <c r="Z9" s="58">
        <f t="shared" si="6"/>
        <v>0.94039269553975435</v>
      </c>
      <c r="AA9" s="128">
        <f t="shared" si="7"/>
        <v>2.2053048274248699E-2</v>
      </c>
    </row>
    <row r="10" spans="1:27" x14ac:dyDescent="0.25">
      <c r="A10" s="34">
        <v>6</v>
      </c>
      <c r="B10" s="34">
        <v>120</v>
      </c>
      <c r="C10" s="19">
        <v>1399</v>
      </c>
      <c r="D10" s="1">
        <v>1395</v>
      </c>
      <c r="E10" s="1">
        <v>1411</v>
      </c>
      <c r="F10" s="1">
        <v>1396</v>
      </c>
      <c r="G10" s="1">
        <v>1419</v>
      </c>
      <c r="H10" s="40">
        <f t="shared" si="2"/>
        <v>1404</v>
      </c>
      <c r="I10" s="41">
        <f t="shared" si="3"/>
        <v>10.535653752852738</v>
      </c>
      <c r="J10" s="36">
        <v>0.98</v>
      </c>
      <c r="K10" s="36"/>
      <c r="L10" s="36"/>
      <c r="M10" s="58">
        <f t="shared" si="4"/>
        <v>0.98</v>
      </c>
      <c r="N10" s="41" t="e">
        <f t="shared" si="0"/>
        <v>#DIV/0!</v>
      </c>
      <c r="O10" s="35">
        <v>0.01</v>
      </c>
      <c r="P10" s="36"/>
      <c r="Q10" s="36"/>
      <c r="R10" s="58">
        <f t="shared" si="5"/>
        <v>0.01</v>
      </c>
      <c r="S10" s="41" t="e">
        <f t="shared" si="1"/>
        <v>#DIV/0!</v>
      </c>
      <c r="T10" s="66">
        <v>0.96923076923076923</v>
      </c>
      <c r="U10" s="66">
        <v>0.97032967032967032</v>
      </c>
      <c r="V10" s="56">
        <v>0.94615384615384612</v>
      </c>
      <c r="W10" s="127">
        <v>0.94117647058823528</v>
      </c>
      <c r="X10" s="56">
        <v>0.92647058823529405</v>
      </c>
      <c r="Y10" s="66">
        <v>0.91470588235294115</v>
      </c>
      <c r="Z10" s="58">
        <f t="shared" si="6"/>
        <v>0.94467787114845947</v>
      </c>
      <c r="AA10" s="128">
        <f t="shared" si="7"/>
        <v>2.2383579593138567E-2</v>
      </c>
    </row>
    <row r="11" spans="1:27" x14ac:dyDescent="0.25">
      <c r="A11" s="34">
        <v>7</v>
      </c>
      <c r="B11" s="34">
        <v>140</v>
      </c>
      <c r="C11" s="19">
        <v>1388</v>
      </c>
      <c r="D11" s="1">
        <v>1375</v>
      </c>
      <c r="E11" s="1">
        <v>1392</v>
      </c>
      <c r="F11" s="1">
        <v>1400</v>
      </c>
      <c r="G11" s="1">
        <v>1397</v>
      </c>
      <c r="H11" s="40">
        <f t="shared" si="2"/>
        <v>1390</v>
      </c>
      <c r="I11" s="41">
        <f t="shared" si="3"/>
        <v>9.7621718894926257</v>
      </c>
      <c r="J11" s="36">
        <v>0.95</v>
      </c>
      <c r="K11" s="36"/>
      <c r="L11" s="36"/>
      <c r="M11" s="58">
        <f t="shared" si="4"/>
        <v>0.95</v>
      </c>
      <c r="N11" s="41" t="e">
        <f t="shared" si="0"/>
        <v>#DIV/0!</v>
      </c>
      <c r="O11" s="35">
        <v>0.02</v>
      </c>
      <c r="P11" s="36"/>
      <c r="Q11" s="36"/>
      <c r="R11" s="58">
        <f t="shared" si="5"/>
        <v>0.02</v>
      </c>
      <c r="S11" s="41" t="e">
        <f t="shared" si="1"/>
        <v>#DIV/0!</v>
      </c>
      <c r="T11" s="56">
        <v>0.96593406593406594</v>
      </c>
      <c r="U11" s="66">
        <v>0.96593406593406594</v>
      </c>
      <c r="V11" s="66">
        <v>0.95824175824175817</v>
      </c>
      <c r="W11" s="127">
        <v>0.92205882352941171</v>
      </c>
      <c r="X11" s="66">
        <v>0.94852941176470584</v>
      </c>
      <c r="Y11" s="66">
        <v>0.92647058823529405</v>
      </c>
      <c r="Z11" s="58">
        <f t="shared" si="6"/>
        <v>0.94786145227321705</v>
      </c>
      <c r="AA11" s="128">
        <f t="shared" si="7"/>
        <v>1.9415356629899756E-2</v>
      </c>
    </row>
    <row r="12" spans="1:27" x14ac:dyDescent="0.25">
      <c r="A12" s="34">
        <v>8</v>
      </c>
      <c r="B12" s="34">
        <v>160</v>
      </c>
      <c r="C12" s="19">
        <v>1380</v>
      </c>
      <c r="D12" s="1">
        <v>1380</v>
      </c>
      <c r="E12" s="1">
        <v>1375</v>
      </c>
      <c r="F12" s="1">
        <v>1379</v>
      </c>
      <c r="G12" s="1">
        <v>1380</v>
      </c>
      <c r="H12" s="40">
        <f t="shared" si="2"/>
        <v>1378</v>
      </c>
      <c r="I12" s="41">
        <f t="shared" si="3"/>
        <v>2.16794833886788</v>
      </c>
      <c r="J12" s="36">
        <v>0.97</v>
      </c>
      <c r="K12" s="36"/>
      <c r="L12" s="36"/>
      <c r="M12" s="58">
        <f t="shared" si="4"/>
        <v>0.97</v>
      </c>
      <c r="N12" s="41" t="e">
        <f t="shared" si="0"/>
        <v>#DIV/0!</v>
      </c>
      <c r="O12" s="35">
        <v>0.02</v>
      </c>
      <c r="P12" s="36"/>
      <c r="Q12" s="36"/>
      <c r="R12" s="58">
        <f t="shared" si="5"/>
        <v>0.02</v>
      </c>
      <c r="S12" s="41" t="e">
        <f t="shared" si="1"/>
        <v>#DIV/0!</v>
      </c>
      <c r="T12" s="66">
        <v>0.9758241758241758</v>
      </c>
      <c r="U12" s="66">
        <v>0.97362637362637361</v>
      </c>
      <c r="V12" s="66">
        <v>0.96153846153846145</v>
      </c>
      <c r="W12" s="127">
        <v>0.94117647058823528</v>
      </c>
      <c r="X12" s="66">
        <v>0.93382352941176461</v>
      </c>
      <c r="Y12" s="66">
        <v>0.93088235294117638</v>
      </c>
      <c r="Z12" s="58">
        <f t="shared" si="6"/>
        <v>0.95281189398836441</v>
      </c>
      <c r="AA12" s="128">
        <f t="shared" si="7"/>
        <v>2.0078876943857037E-2</v>
      </c>
    </row>
    <row r="13" spans="1:27" x14ac:dyDescent="0.25">
      <c r="A13" s="34">
        <v>9</v>
      </c>
      <c r="B13" s="34">
        <v>180</v>
      </c>
      <c r="C13" s="19">
        <v>1359</v>
      </c>
      <c r="D13" s="1">
        <v>1376</v>
      </c>
      <c r="E13" s="1">
        <v>1383</v>
      </c>
      <c r="F13" s="1">
        <v>1379</v>
      </c>
      <c r="G13" s="1">
        <v>1382</v>
      </c>
      <c r="H13" s="40">
        <f t="shared" si="2"/>
        <v>1375</v>
      </c>
      <c r="I13" s="41">
        <f t="shared" si="3"/>
        <v>9.7826376811164799</v>
      </c>
      <c r="J13" s="36">
        <v>0.95</v>
      </c>
      <c r="K13" s="36"/>
      <c r="L13" s="36"/>
      <c r="M13" s="58">
        <f t="shared" si="4"/>
        <v>0.95</v>
      </c>
      <c r="N13" s="41" t="e">
        <f t="shared" si="0"/>
        <v>#DIV/0!</v>
      </c>
      <c r="O13" s="35">
        <v>0.02</v>
      </c>
      <c r="P13" s="36"/>
      <c r="Q13" s="36"/>
      <c r="R13" s="58">
        <f t="shared" si="5"/>
        <v>0.02</v>
      </c>
      <c r="S13" s="41" t="e">
        <f t="shared" si="1"/>
        <v>#DIV/0!</v>
      </c>
      <c r="T13" s="66">
        <v>0.96703296703296704</v>
      </c>
      <c r="U13" s="66">
        <v>0.98241758241758237</v>
      </c>
      <c r="V13" s="66">
        <v>0.9747252747252747</v>
      </c>
      <c r="W13" s="127">
        <v>0.93529411764705872</v>
      </c>
      <c r="X13" s="66">
        <v>0.94411764705882351</v>
      </c>
      <c r="Y13" s="66">
        <v>0.93970588235294117</v>
      </c>
      <c r="Z13" s="58">
        <f t="shared" si="6"/>
        <v>0.95721557853910788</v>
      </c>
      <c r="AA13" s="128">
        <f t="shared" si="7"/>
        <v>1.9984030094540955E-2</v>
      </c>
    </row>
    <row r="14" spans="1:27" x14ac:dyDescent="0.25">
      <c r="A14" s="34" t="s">
        <v>9</v>
      </c>
      <c r="B14" s="34">
        <v>200</v>
      </c>
      <c r="C14" s="19">
        <v>1345</v>
      </c>
      <c r="D14" s="1">
        <v>1341</v>
      </c>
      <c r="E14" s="1">
        <v>1344</v>
      </c>
      <c r="F14" s="1">
        <v>1356</v>
      </c>
      <c r="G14" s="1">
        <v>1340</v>
      </c>
      <c r="H14" s="40">
        <f t="shared" si="2"/>
        <v>1345</v>
      </c>
      <c r="I14" s="41">
        <f t="shared" si="3"/>
        <v>6.3796551630946325</v>
      </c>
      <c r="J14" s="36">
        <v>0.95</v>
      </c>
      <c r="K14" s="36"/>
      <c r="L14" s="36"/>
      <c r="M14" s="58">
        <f t="shared" si="4"/>
        <v>0.95</v>
      </c>
      <c r="N14" s="41" t="e">
        <f t="shared" si="0"/>
        <v>#DIV/0!</v>
      </c>
      <c r="O14" s="35">
        <v>0.02</v>
      </c>
      <c r="P14" s="36"/>
      <c r="Q14" s="36"/>
      <c r="R14" s="58">
        <f t="shared" si="5"/>
        <v>0.02</v>
      </c>
      <c r="S14" s="41" t="e">
        <f t="shared" si="1"/>
        <v>#DIV/0!</v>
      </c>
      <c r="T14" s="66">
        <v>0.98021978021978018</v>
      </c>
      <c r="U14" s="66">
        <v>0.97802197802197799</v>
      </c>
      <c r="V14" s="66">
        <v>0.9747252747252747</v>
      </c>
      <c r="W14" s="127">
        <v>0.95</v>
      </c>
      <c r="X14" s="66">
        <v>0.94117647058823528</v>
      </c>
      <c r="Y14" s="66">
        <v>0.94117647058823528</v>
      </c>
      <c r="Z14" s="58">
        <f t="shared" si="6"/>
        <v>0.96088666235725062</v>
      </c>
      <c r="AA14" s="128">
        <f t="shared" si="7"/>
        <v>1.8731782712343416E-2</v>
      </c>
    </row>
    <row r="16" spans="1:27" x14ac:dyDescent="0.25">
      <c r="A16" s="1"/>
      <c r="F16" s="1"/>
      <c r="G16" s="1"/>
    </row>
    <row r="17" spans="1:7" x14ac:dyDescent="0.25">
      <c r="A17" s="1"/>
      <c r="F17" s="1"/>
      <c r="G17" s="1"/>
    </row>
    <row r="18" spans="1:7" x14ac:dyDescent="0.25">
      <c r="A18" s="1"/>
      <c r="F18" s="1"/>
      <c r="G18" s="1"/>
    </row>
    <row r="19" spans="1:7" x14ac:dyDescent="0.25">
      <c r="A19" s="1"/>
      <c r="F19" s="1"/>
      <c r="G19" s="1"/>
    </row>
    <row r="20" spans="1:7" x14ac:dyDescent="0.25">
      <c r="A20" s="1"/>
      <c r="F20" s="1"/>
      <c r="G20" s="1"/>
    </row>
    <row r="21" spans="1:7" x14ac:dyDescent="0.25">
      <c r="A21" s="1"/>
      <c r="F21" s="1"/>
      <c r="G21" s="1"/>
    </row>
    <row r="22" spans="1:7" x14ac:dyDescent="0.25">
      <c r="A22" s="1"/>
      <c r="F22" s="1"/>
      <c r="G22" s="1"/>
    </row>
    <row r="23" spans="1:7" x14ac:dyDescent="0.25">
      <c r="A23" s="1"/>
      <c r="F23" s="1"/>
      <c r="G23" s="1"/>
    </row>
    <row r="24" spans="1:7" x14ac:dyDescent="0.25">
      <c r="A24" s="1"/>
      <c r="F24" s="1"/>
      <c r="G24" s="1"/>
    </row>
  </sheetData>
  <mergeCells count="15">
    <mergeCell ref="AA2:AA3"/>
    <mergeCell ref="T2:V2"/>
    <mergeCell ref="C2:G2"/>
    <mergeCell ref="B2:B3"/>
    <mergeCell ref="A2:A3"/>
    <mergeCell ref="H2:H3"/>
    <mergeCell ref="I2:I3"/>
    <mergeCell ref="M2:M3"/>
    <mergeCell ref="N2:N3"/>
    <mergeCell ref="J2:L2"/>
    <mergeCell ref="O2:Q2"/>
    <mergeCell ref="R2:R3"/>
    <mergeCell ref="S2:S3"/>
    <mergeCell ref="Z2:Z3"/>
    <mergeCell ref="W2:Y2"/>
  </mergeCells>
  <pageMargins left="0.7" right="0.7" top="0.75" bottom="0.75" header="0.3" footer="0.3"/>
  <pageSetup orientation="portrait" r:id="rId1"/>
  <ignoredErrors>
    <ignoredError sqref="H4 H5:H14 I4:I14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5DF9-FDD5-4233-9F6D-A111883722EA}">
  <dimension ref="A2:AA24"/>
  <sheetViews>
    <sheetView workbookViewId="0">
      <pane xSplit="1" topLeftCell="U1" activePane="topRight" state="frozen"/>
      <selection pane="topRight" activeCell="AA4" sqref="AA4"/>
    </sheetView>
  </sheetViews>
  <sheetFormatPr baseColWidth="10" defaultColWidth="11.42578125" defaultRowHeight="15" x14ac:dyDescent="0.25"/>
  <cols>
    <col min="9" max="9" width="11.7109375" bestFit="1" customWidth="1"/>
  </cols>
  <sheetData>
    <row r="2" spans="1:27" s="5" customFormat="1" x14ac:dyDescent="0.25">
      <c r="A2" s="150" t="s">
        <v>0</v>
      </c>
      <c r="B2" s="150" t="s">
        <v>1</v>
      </c>
      <c r="C2" s="148" t="s">
        <v>2</v>
      </c>
      <c r="D2" s="149"/>
      <c r="E2" s="149"/>
      <c r="F2" s="149"/>
      <c r="G2" s="149"/>
      <c r="H2" s="152" t="s">
        <v>3</v>
      </c>
      <c r="I2" s="146" t="s">
        <v>4</v>
      </c>
      <c r="J2" s="149" t="s">
        <v>5</v>
      </c>
      <c r="K2" s="149"/>
      <c r="L2" s="149"/>
      <c r="M2" s="152" t="s">
        <v>3</v>
      </c>
      <c r="N2" s="146" t="s">
        <v>4</v>
      </c>
      <c r="O2" s="148" t="s">
        <v>6</v>
      </c>
      <c r="P2" s="149"/>
      <c r="Q2" s="149"/>
      <c r="R2" s="152" t="s">
        <v>3</v>
      </c>
      <c r="S2" s="146" t="s">
        <v>4</v>
      </c>
      <c r="T2" s="148" t="s">
        <v>7</v>
      </c>
      <c r="U2" s="149"/>
      <c r="V2" s="149"/>
      <c r="W2" s="148" t="s">
        <v>8</v>
      </c>
      <c r="X2" s="149"/>
      <c r="Y2" s="149"/>
      <c r="Z2" s="152" t="s">
        <v>3</v>
      </c>
      <c r="AA2" s="146" t="s">
        <v>4</v>
      </c>
    </row>
    <row r="3" spans="1:27" s="38" customFormat="1" x14ac:dyDescent="0.25">
      <c r="A3" s="151"/>
      <c r="B3" s="151"/>
      <c r="C3" s="37">
        <v>1</v>
      </c>
      <c r="D3" s="134">
        <v>2</v>
      </c>
      <c r="E3" s="134">
        <v>3</v>
      </c>
      <c r="F3" s="134">
        <v>4</v>
      </c>
      <c r="G3" s="134">
        <v>5</v>
      </c>
      <c r="H3" s="153"/>
      <c r="I3" s="147"/>
      <c r="J3" s="134">
        <v>1</v>
      </c>
      <c r="K3" s="134">
        <v>2</v>
      </c>
      <c r="L3" s="134">
        <v>3</v>
      </c>
      <c r="M3" s="153"/>
      <c r="N3" s="147"/>
      <c r="O3" s="37">
        <v>1</v>
      </c>
      <c r="P3" s="134">
        <v>2</v>
      </c>
      <c r="Q3" s="134">
        <v>3</v>
      </c>
      <c r="R3" s="153"/>
      <c r="S3" s="147"/>
      <c r="T3" s="37">
        <v>1</v>
      </c>
      <c r="U3" s="134">
        <v>2</v>
      </c>
      <c r="V3" s="134">
        <v>3</v>
      </c>
      <c r="W3" s="37">
        <v>1</v>
      </c>
      <c r="X3" s="134">
        <v>2</v>
      </c>
      <c r="Y3" s="134">
        <v>3</v>
      </c>
      <c r="Z3" s="153"/>
      <c r="AA3" s="147"/>
    </row>
    <row r="4" spans="1:27" x14ac:dyDescent="0.25">
      <c r="A4" s="34">
        <v>0</v>
      </c>
      <c r="B4" s="34">
        <v>0</v>
      </c>
      <c r="C4" s="6">
        <v>1529</v>
      </c>
      <c r="D4" s="6">
        <v>1519</v>
      </c>
      <c r="E4" s="6">
        <v>1503</v>
      </c>
      <c r="F4" s="6">
        <v>1512</v>
      </c>
      <c r="G4" s="6">
        <v>1512</v>
      </c>
      <c r="H4" s="40">
        <f>ROUNDDOWN(AVERAGE(C4:G4),0)</f>
        <v>1515</v>
      </c>
      <c r="I4" s="41">
        <f>_xlfn.STDEV.S(C4:G4)</f>
        <v>9.6695398029068578</v>
      </c>
      <c r="J4" s="65">
        <v>0.88</v>
      </c>
      <c r="K4" s="36"/>
      <c r="L4" s="36"/>
      <c r="M4" s="40">
        <f>AVERAGE(J4:L4)</f>
        <v>0.88</v>
      </c>
      <c r="N4" s="41" t="e">
        <f t="shared" ref="N4:N14" si="0">_xlfn.STDEV.S(J4:L4)</f>
        <v>#DIV/0!</v>
      </c>
      <c r="O4" s="36"/>
      <c r="P4" s="56">
        <v>0</v>
      </c>
      <c r="Q4" s="36"/>
      <c r="R4" s="40">
        <f>AVERAGE(O4:Q4)</f>
        <v>0</v>
      </c>
      <c r="S4" s="41" t="e">
        <f t="shared" ref="S4:S14" si="1">_xlfn.STDEV.S(O4:Q4)</f>
        <v>#DIV/0!</v>
      </c>
      <c r="T4" s="1">
        <v>0.92420000000000002</v>
      </c>
      <c r="U4" s="66">
        <v>0.92200000000000004</v>
      </c>
      <c r="V4" s="66">
        <v>0.92200000000000004</v>
      </c>
      <c r="W4" s="130">
        <v>0.88680000000000003</v>
      </c>
      <c r="X4" s="109">
        <v>0.88970000000000005</v>
      </c>
      <c r="Y4" s="109">
        <v>0.875</v>
      </c>
      <c r="Z4" s="58">
        <f>AVERAGE(T4:Y4)</f>
        <v>0.90328333333333344</v>
      </c>
      <c r="AA4" s="128">
        <f>_xlfn.STDEV.S(T4:Y4)</f>
        <v>2.1882816698648899E-2</v>
      </c>
    </row>
    <row r="5" spans="1:27" x14ac:dyDescent="0.25">
      <c r="A5" s="34">
        <v>1</v>
      </c>
      <c r="B5" s="34">
        <v>20</v>
      </c>
      <c r="C5" s="1">
        <v>1518</v>
      </c>
      <c r="D5" s="1">
        <v>1509</v>
      </c>
      <c r="E5" s="1">
        <v>1522</v>
      </c>
      <c r="F5" s="1">
        <v>1518</v>
      </c>
      <c r="G5" s="1">
        <v>1540</v>
      </c>
      <c r="H5" s="40">
        <f t="shared" ref="H5:H14" si="2">ROUNDDOWN(AVERAGE(C5:G5),0)</f>
        <v>1521</v>
      </c>
      <c r="I5" s="41">
        <f t="shared" ref="I5:I14" si="3">_xlfn.STDEV.S(C5:G5)</f>
        <v>11.436782764396638</v>
      </c>
      <c r="J5" s="65">
        <v>0.99</v>
      </c>
      <c r="K5" s="36"/>
      <c r="L5" s="36"/>
      <c r="M5" s="40">
        <f t="shared" ref="M5:M14" si="4">AVERAGE(J5:L5)</f>
        <v>0.99</v>
      </c>
      <c r="N5" s="41" t="e">
        <f t="shared" si="0"/>
        <v>#DIV/0!</v>
      </c>
      <c r="O5" s="35"/>
      <c r="P5" s="56">
        <v>8.0000000000000002E-3</v>
      </c>
      <c r="Q5" s="36"/>
      <c r="R5" s="40">
        <f t="shared" ref="R5:R14" si="5">AVERAGE(O5:Q5)</f>
        <v>8.0000000000000002E-3</v>
      </c>
      <c r="S5" s="129" t="e">
        <f t="shared" si="1"/>
        <v>#DIV/0!</v>
      </c>
      <c r="T5" s="55">
        <v>0.91978021978021973</v>
      </c>
      <c r="U5" s="56">
        <v>0.92197802197802192</v>
      </c>
      <c r="V5" s="56">
        <v>0.93406593406593397</v>
      </c>
      <c r="W5" s="55">
        <v>0.89705882352941169</v>
      </c>
      <c r="X5" s="56">
        <v>0.9102941176470587</v>
      </c>
      <c r="Y5" s="56">
        <v>0.88823529411764701</v>
      </c>
      <c r="Z5" s="58">
        <f>AVERAGE(T5:Y5)</f>
        <v>0.91190206851971567</v>
      </c>
      <c r="AA5" s="128">
        <f>_xlfn.STDEV.S(T5:Y5)</f>
        <v>1.6957893028189869E-2</v>
      </c>
    </row>
    <row r="6" spans="1:27" x14ac:dyDescent="0.25">
      <c r="A6" s="34">
        <v>2</v>
      </c>
      <c r="B6" s="34">
        <v>40</v>
      </c>
      <c r="C6" s="1">
        <v>1501</v>
      </c>
      <c r="D6" s="1">
        <v>1500</v>
      </c>
      <c r="E6" s="1">
        <v>1499</v>
      </c>
      <c r="F6" s="1">
        <v>1500</v>
      </c>
      <c r="G6" s="1">
        <v>1517</v>
      </c>
      <c r="H6" s="40">
        <f t="shared" si="2"/>
        <v>1503</v>
      </c>
      <c r="I6" s="41">
        <f t="shared" si="3"/>
        <v>7.6354436675284303</v>
      </c>
      <c r="J6" s="36"/>
      <c r="K6" s="56">
        <v>0.88600000000000001</v>
      </c>
      <c r="L6" s="36"/>
      <c r="M6" s="40">
        <f t="shared" si="4"/>
        <v>0.88600000000000001</v>
      </c>
      <c r="N6" s="41" t="e">
        <f t="shared" si="0"/>
        <v>#DIV/0!</v>
      </c>
      <c r="O6" s="35"/>
      <c r="P6" s="56">
        <v>1.2999999999999999E-2</v>
      </c>
      <c r="Q6" s="36"/>
      <c r="R6" s="40">
        <f t="shared" si="5"/>
        <v>1.2999999999999999E-2</v>
      </c>
      <c r="S6" s="129" t="e">
        <f t="shared" si="1"/>
        <v>#DIV/0!</v>
      </c>
      <c r="T6" s="127">
        <v>0.93736263736263736</v>
      </c>
      <c r="U6" s="66">
        <v>0.92417582417582411</v>
      </c>
      <c r="V6" s="56">
        <v>0.93626373626373616</v>
      </c>
      <c r="W6" s="127">
        <v>0.90441176470588225</v>
      </c>
      <c r="X6" s="66">
        <v>0.90294117647058814</v>
      </c>
      <c r="Y6" s="56">
        <v>0.90294117647058814</v>
      </c>
      <c r="Z6" s="58">
        <f t="shared" ref="Z6:Z14" si="6">AVERAGE(T6:Y6)</f>
        <v>0.91801605257487606</v>
      </c>
      <c r="AA6" s="128">
        <f t="shared" ref="AA6:AA14" si="7">_xlfn.STDEV.S(T6:Y6)</f>
        <v>1.6642064275060882E-2</v>
      </c>
    </row>
    <row r="7" spans="1:27" x14ac:dyDescent="0.25">
      <c r="A7" s="34">
        <v>3</v>
      </c>
      <c r="B7" s="34">
        <v>60</v>
      </c>
      <c r="C7" s="1">
        <v>1489</v>
      </c>
      <c r="D7" s="1">
        <v>1495</v>
      </c>
      <c r="E7" s="1">
        <v>1480</v>
      </c>
      <c r="F7" s="1">
        <v>1502</v>
      </c>
      <c r="G7" s="1">
        <v>1502</v>
      </c>
      <c r="H7" s="40">
        <f t="shared" si="2"/>
        <v>1493</v>
      </c>
      <c r="I7" s="41">
        <f t="shared" si="3"/>
        <v>9.3434469014384618</v>
      </c>
      <c r="J7" s="36"/>
      <c r="K7" s="56">
        <v>0.89300000000000002</v>
      </c>
      <c r="L7" s="36"/>
      <c r="M7" s="40">
        <f t="shared" si="4"/>
        <v>0.89300000000000002</v>
      </c>
      <c r="N7" s="41" t="e">
        <f t="shared" si="0"/>
        <v>#DIV/0!</v>
      </c>
      <c r="O7" s="35"/>
      <c r="P7" s="56">
        <v>1.6E-2</v>
      </c>
      <c r="Q7" s="36"/>
      <c r="R7" s="40">
        <f t="shared" si="5"/>
        <v>1.6E-2</v>
      </c>
      <c r="S7" s="129" t="e">
        <f t="shared" si="1"/>
        <v>#DIV/0!</v>
      </c>
      <c r="T7" s="127">
        <v>0.92857142857142849</v>
      </c>
      <c r="U7" s="66">
        <v>0.94175824175824174</v>
      </c>
      <c r="V7" s="66">
        <v>0.93296703296703287</v>
      </c>
      <c r="W7" s="127">
        <v>0.90441176470588225</v>
      </c>
      <c r="X7" s="66">
        <v>0.90441176470588225</v>
      </c>
      <c r="Y7" s="66">
        <v>0.91470588235294115</v>
      </c>
      <c r="Z7" s="58">
        <f t="shared" si="6"/>
        <v>0.92113768584356814</v>
      </c>
      <c r="AA7" s="128">
        <f t="shared" si="7"/>
        <v>1.5628706168405861E-2</v>
      </c>
    </row>
    <row r="8" spans="1:27" x14ac:dyDescent="0.25">
      <c r="A8" s="34">
        <v>4</v>
      </c>
      <c r="B8" s="34">
        <v>80</v>
      </c>
      <c r="C8" s="1">
        <v>1451</v>
      </c>
      <c r="D8" s="1">
        <v>1464</v>
      </c>
      <c r="E8" s="1">
        <v>1474</v>
      </c>
      <c r="F8" s="1">
        <v>1470</v>
      </c>
      <c r="G8" s="1">
        <v>1487</v>
      </c>
      <c r="H8" s="40">
        <f t="shared" si="2"/>
        <v>1469</v>
      </c>
      <c r="I8" s="41">
        <f t="shared" si="3"/>
        <v>13.217412757419661</v>
      </c>
      <c r="J8" s="36"/>
      <c r="K8" s="56">
        <v>0.91900000000000004</v>
      </c>
      <c r="L8" s="36"/>
      <c r="M8" s="40">
        <f t="shared" si="4"/>
        <v>0.91900000000000004</v>
      </c>
      <c r="N8" s="41" t="e">
        <f t="shared" si="0"/>
        <v>#DIV/0!</v>
      </c>
      <c r="O8" s="35"/>
      <c r="P8" s="56">
        <v>3.2000000000000001E-2</v>
      </c>
      <c r="Q8" s="36"/>
      <c r="R8" s="40">
        <f t="shared" si="5"/>
        <v>3.2000000000000001E-2</v>
      </c>
      <c r="S8" s="129" t="e">
        <f t="shared" si="1"/>
        <v>#DIV/0!</v>
      </c>
      <c r="T8" s="127">
        <v>0.94505494505494503</v>
      </c>
      <c r="U8" s="66">
        <v>0.9505494505494505</v>
      </c>
      <c r="V8" s="66">
        <v>0.93186813186813178</v>
      </c>
      <c r="W8" s="127">
        <v>0.91323529411764703</v>
      </c>
      <c r="X8" s="66">
        <v>0.91470588235294115</v>
      </c>
      <c r="Y8" s="66">
        <v>0.91323529411764703</v>
      </c>
      <c r="Z8" s="58">
        <f t="shared" si="6"/>
        <v>0.92810816634346038</v>
      </c>
      <c r="AA8" s="128">
        <f t="shared" si="7"/>
        <v>1.6893594992836998E-2</v>
      </c>
    </row>
    <row r="9" spans="1:27" x14ac:dyDescent="0.25">
      <c r="A9" s="34">
        <v>5</v>
      </c>
      <c r="B9" s="34">
        <v>100</v>
      </c>
      <c r="C9" s="1">
        <v>1438</v>
      </c>
      <c r="D9" s="1">
        <v>1432</v>
      </c>
      <c r="E9" s="1">
        <v>1462</v>
      </c>
      <c r="F9" s="1">
        <v>1437</v>
      </c>
      <c r="G9" s="1">
        <v>1424</v>
      </c>
      <c r="H9" s="40">
        <f t="shared" si="2"/>
        <v>1438</v>
      </c>
      <c r="I9" s="41">
        <f t="shared" si="3"/>
        <v>14.205632685663812</v>
      </c>
      <c r="J9" s="36"/>
      <c r="K9" s="56">
        <v>0.92400000000000004</v>
      </c>
      <c r="L9" s="36"/>
      <c r="M9" s="40">
        <f t="shared" si="4"/>
        <v>0.92400000000000004</v>
      </c>
      <c r="N9" s="41" t="e">
        <f t="shared" si="0"/>
        <v>#DIV/0!</v>
      </c>
      <c r="O9" s="35"/>
      <c r="P9" s="56">
        <v>3.6999999999999998E-2</v>
      </c>
      <c r="Q9" s="36"/>
      <c r="R9" s="40">
        <f t="shared" si="5"/>
        <v>3.6999999999999998E-2</v>
      </c>
      <c r="S9" s="129" t="e">
        <f t="shared" si="1"/>
        <v>#DIV/0!</v>
      </c>
      <c r="T9" s="127">
        <v>0.93846153846153846</v>
      </c>
      <c r="U9" s="56">
        <v>0.94175824175824174</v>
      </c>
      <c r="V9" s="56">
        <v>0.95384615384615379</v>
      </c>
      <c r="W9" s="127">
        <v>0.9102941176470587</v>
      </c>
      <c r="X9" s="56">
        <v>0.92499999999999993</v>
      </c>
      <c r="Y9" s="56">
        <v>0.91470588235294115</v>
      </c>
      <c r="Z9" s="58">
        <f t="shared" si="6"/>
        <v>0.93067765567765559</v>
      </c>
      <c r="AA9" s="128">
        <f t="shared" si="7"/>
        <v>1.6869910884418311E-2</v>
      </c>
    </row>
    <row r="10" spans="1:27" x14ac:dyDescent="0.25">
      <c r="A10" s="34">
        <v>6</v>
      </c>
      <c r="B10" s="34">
        <v>120</v>
      </c>
      <c r="C10" s="1">
        <v>1402</v>
      </c>
      <c r="D10" s="1">
        <v>1390</v>
      </c>
      <c r="E10" s="1">
        <v>1422</v>
      </c>
      <c r="F10" s="1">
        <v>1416</v>
      </c>
      <c r="G10" s="1">
        <v>1412</v>
      </c>
      <c r="H10" s="40">
        <f t="shared" si="2"/>
        <v>1408</v>
      </c>
      <c r="I10" s="41">
        <f t="shared" si="3"/>
        <v>12.601587201618692</v>
      </c>
      <c r="J10" s="36"/>
      <c r="K10" s="56">
        <v>0.95899999999999996</v>
      </c>
      <c r="L10" s="36"/>
      <c r="M10" s="40">
        <f t="shared" si="4"/>
        <v>0.95899999999999996</v>
      </c>
      <c r="N10" s="41" t="e">
        <f t="shared" si="0"/>
        <v>#DIV/0!</v>
      </c>
      <c r="O10" s="35"/>
      <c r="P10" s="56">
        <v>3.7999999999999999E-2</v>
      </c>
      <c r="Q10" s="36"/>
      <c r="R10" s="40">
        <f t="shared" si="5"/>
        <v>3.7999999999999999E-2</v>
      </c>
      <c r="S10" s="129" t="e">
        <f t="shared" si="1"/>
        <v>#DIV/0!</v>
      </c>
      <c r="T10" s="127">
        <v>0.94945054945054941</v>
      </c>
      <c r="U10" s="66">
        <v>0.95934065934065926</v>
      </c>
      <c r="V10" s="66">
        <v>0.93956043956043955</v>
      </c>
      <c r="W10" s="127">
        <v>0.92352941176470582</v>
      </c>
      <c r="X10" s="66">
        <v>0.92205882352941171</v>
      </c>
      <c r="Y10" s="66">
        <v>0.92794117647058816</v>
      </c>
      <c r="Z10" s="58">
        <f t="shared" si="6"/>
        <v>0.93698017668605893</v>
      </c>
      <c r="AA10" s="128">
        <f t="shared" si="7"/>
        <v>1.5148811965451979E-2</v>
      </c>
    </row>
    <row r="11" spans="1:27" x14ac:dyDescent="0.25">
      <c r="A11" s="34">
        <v>7</v>
      </c>
      <c r="B11" s="34">
        <v>140</v>
      </c>
      <c r="C11" s="1">
        <v>1383</v>
      </c>
      <c r="D11" s="1">
        <v>1397</v>
      </c>
      <c r="E11" s="1">
        <v>1380</v>
      </c>
      <c r="F11" s="1">
        <v>1386</v>
      </c>
      <c r="G11" s="1">
        <v>1384</v>
      </c>
      <c r="H11" s="40">
        <f t="shared" si="2"/>
        <v>1386</v>
      </c>
      <c r="I11" s="41">
        <f t="shared" si="3"/>
        <v>6.5192024052026492</v>
      </c>
      <c r="J11" s="36"/>
      <c r="K11" s="56">
        <v>0.92400000000000004</v>
      </c>
      <c r="L11" s="36"/>
      <c r="M11" s="40">
        <f t="shared" si="4"/>
        <v>0.92400000000000004</v>
      </c>
      <c r="N11" s="41" t="e">
        <f t="shared" si="0"/>
        <v>#DIV/0!</v>
      </c>
      <c r="O11" s="35"/>
      <c r="P11" s="56">
        <v>4.2999999999999997E-2</v>
      </c>
      <c r="Q11" s="36"/>
      <c r="R11" s="40">
        <f t="shared" si="5"/>
        <v>4.2999999999999997E-2</v>
      </c>
      <c r="S11" s="129" t="e">
        <f t="shared" si="1"/>
        <v>#DIV/0!</v>
      </c>
      <c r="T11" s="127">
        <v>0.95384615384615379</v>
      </c>
      <c r="U11" s="66">
        <v>0.95494505494505488</v>
      </c>
      <c r="V11" s="66">
        <v>0.95494505494505488</v>
      </c>
      <c r="W11" s="127">
        <v>0.92499999999999993</v>
      </c>
      <c r="X11" s="66">
        <v>0.93970588235294117</v>
      </c>
      <c r="Y11" s="66">
        <v>0.92941176470588227</v>
      </c>
      <c r="Z11" s="58">
        <f t="shared" si="6"/>
        <v>0.94297565179918108</v>
      </c>
      <c r="AA11" s="128">
        <f t="shared" si="7"/>
        <v>1.3583044732363003E-2</v>
      </c>
    </row>
    <row r="12" spans="1:27" x14ac:dyDescent="0.25">
      <c r="A12" s="34">
        <v>8</v>
      </c>
      <c r="B12" s="34">
        <v>160</v>
      </c>
      <c r="C12" s="1">
        <v>1374</v>
      </c>
      <c r="D12" s="1">
        <v>1360</v>
      </c>
      <c r="E12" s="1">
        <v>1357</v>
      </c>
      <c r="F12" s="1">
        <v>1374</v>
      </c>
      <c r="G12" s="1">
        <v>1356</v>
      </c>
      <c r="H12" s="40">
        <f t="shared" si="2"/>
        <v>1364</v>
      </c>
      <c r="I12" s="41">
        <f t="shared" si="3"/>
        <v>9.0664215653145099</v>
      </c>
      <c r="J12" s="36"/>
      <c r="K12" s="56">
        <v>0.97799999999999998</v>
      </c>
      <c r="L12" s="36"/>
      <c r="M12" s="40">
        <f t="shared" si="4"/>
        <v>0.97799999999999998</v>
      </c>
      <c r="N12" s="41" t="e">
        <f t="shared" si="0"/>
        <v>#DIV/0!</v>
      </c>
      <c r="O12" s="35"/>
      <c r="P12" s="56">
        <v>4.4400000000000002E-2</v>
      </c>
      <c r="Q12" s="36"/>
      <c r="R12" s="40">
        <f t="shared" si="5"/>
        <v>4.4400000000000002E-2</v>
      </c>
      <c r="S12" s="129" t="e">
        <f t="shared" si="1"/>
        <v>#DIV/0!</v>
      </c>
      <c r="T12" s="127">
        <v>0.95494505494505488</v>
      </c>
      <c r="U12" s="66">
        <v>0.95604395604395598</v>
      </c>
      <c r="V12" s="66">
        <v>0.96813186813186813</v>
      </c>
      <c r="W12" s="127">
        <v>0.94705882352941173</v>
      </c>
      <c r="X12" s="66">
        <v>0.92941176470588227</v>
      </c>
      <c r="Y12" s="66">
        <v>0.93676470588235294</v>
      </c>
      <c r="Z12" s="58">
        <f t="shared" si="6"/>
        <v>0.94872602887308766</v>
      </c>
      <c r="AA12" s="128">
        <f t="shared" si="7"/>
        <v>1.4054953307406047E-2</v>
      </c>
    </row>
    <row r="13" spans="1:27" x14ac:dyDescent="0.25">
      <c r="A13" s="34">
        <v>9</v>
      </c>
      <c r="B13" s="34">
        <v>180</v>
      </c>
      <c r="C13" s="1">
        <v>1349</v>
      </c>
      <c r="D13" s="1">
        <v>1341</v>
      </c>
      <c r="E13" s="1">
        <v>1356</v>
      </c>
      <c r="F13" s="1">
        <v>1363</v>
      </c>
      <c r="G13" s="1">
        <v>1348</v>
      </c>
      <c r="H13" s="40">
        <f t="shared" si="2"/>
        <v>1351</v>
      </c>
      <c r="I13" s="41">
        <f t="shared" si="3"/>
        <v>8.3845095265018337</v>
      </c>
      <c r="J13" s="36"/>
      <c r="K13" s="36">
        <v>0.91059999999999997</v>
      </c>
      <c r="L13" s="36"/>
      <c r="M13" s="40">
        <f t="shared" si="4"/>
        <v>0.91059999999999997</v>
      </c>
      <c r="N13" s="41" t="e">
        <f t="shared" si="0"/>
        <v>#DIV/0!</v>
      </c>
      <c r="O13" s="35"/>
      <c r="P13" s="56">
        <v>4.5999999999999999E-2</v>
      </c>
      <c r="Q13" s="36"/>
      <c r="R13" s="40">
        <f t="shared" si="5"/>
        <v>4.5999999999999999E-2</v>
      </c>
      <c r="S13" s="129" t="e">
        <f t="shared" si="1"/>
        <v>#DIV/0!</v>
      </c>
      <c r="T13" s="127">
        <v>0.95714285714285707</v>
      </c>
      <c r="U13" s="66">
        <v>0.96373626373626375</v>
      </c>
      <c r="V13" s="66">
        <v>0.97142857142857142</v>
      </c>
      <c r="W13" s="127">
        <v>0.94117647058823528</v>
      </c>
      <c r="X13" s="66">
        <v>0.93970588235294117</v>
      </c>
      <c r="Y13" s="66">
        <v>0.93676470588235294</v>
      </c>
      <c r="Z13" s="58">
        <f t="shared" si="6"/>
        <v>0.95165912518853679</v>
      </c>
      <c r="AA13" s="128">
        <f t="shared" si="7"/>
        <v>1.4431696951570233E-2</v>
      </c>
    </row>
    <row r="14" spans="1:27" x14ac:dyDescent="0.25">
      <c r="A14" s="34" t="s">
        <v>9</v>
      </c>
      <c r="B14" s="34">
        <v>200</v>
      </c>
      <c r="C14" s="1">
        <v>1353</v>
      </c>
      <c r="D14" s="1">
        <v>1350</v>
      </c>
      <c r="E14" s="1">
        <v>1342</v>
      </c>
      <c r="F14" s="1">
        <v>1359</v>
      </c>
      <c r="G14" s="1">
        <v>1336</v>
      </c>
      <c r="H14" s="40">
        <f t="shared" si="2"/>
        <v>1348</v>
      </c>
      <c r="I14" s="41">
        <f t="shared" si="3"/>
        <v>9.0829510622924747</v>
      </c>
      <c r="J14" s="36"/>
      <c r="K14" s="36">
        <v>1.0147999999999999</v>
      </c>
      <c r="L14" s="36"/>
      <c r="M14" s="40">
        <f t="shared" si="4"/>
        <v>1.0147999999999999</v>
      </c>
      <c r="N14" s="41" t="e">
        <f t="shared" si="0"/>
        <v>#DIV/0!</v>
      </c>
      <c r="O14" s="35"/>
      <c r="P14" s="56">
        <v>5.5599999999999997E-2</v>
      </c>
      <c r="Q14" s="36"/>
      <c r="R14" s="40">
        <f t="shared" si="5"/>
        <v>5.5599999999999997E-2</v>
      </c>
      <c r="S14" s="129" t="e">
        <f t="shared" si="1"/>
        <v>#DIV/0!</v>
      </c>
      <c r="T14" s="127">
        <v>0.96813186813186813</v>
      </c>
      <c r="U14" s="66">
        <v>0.96703296703296704</v>
      </c>
      <c r="V14" s="66">
        <v>0.98571428571428565</v>
      </c>
      <c r="W14" s="127">
        <v>0.94264705882352939</v>
      </c>
      <c r="X14" s="66">
        <v>0.93970588235294117</v>
      </c>
      <c r="Y14" s="66">
        <v>0.94705882352941173</v>
      </c>
      <c r="Z14" s="58">
        <f t="shared" si="6"/>
        <v>0.95838181426416724</v>
      </c>
      <c r="AA14" s="128">
        <f t="shared" si="7"/>
        <v>1.8119343646680545E-2</v>
      </c>
    </row>
    <row r="16" spans="1:27" x14ac:dyDescent="0.25">
      <c r="A16" s="1"/>
      <c r="F16" s="1"/>
      <c r="G16" s="1"/>
    </row>
    <row r="17" spans="1:7" x14ac:dyDescent="0.25">
      <c r="A17" s="1"/>
      <c r="F17" s="1"/>
      <c r="G17" s="1"/>
    </row>
    <row r="18" spans="1:7" x14ac:dyDescent="0.25">
      <c r="A18" s="1"/>
      <c r="F18" s="1"/>
      <c r="G18" s="1"/>
    </row>
    <row r="19" spans="1:7" x14ac:dyDescent="0.25">
      <c r="A19" s="1"/>
      <c r="F19" s="1"/>
      <c r="G19" s="1"/>
    </row>
    <row r="20" spans="1:7" x14ac:dyDescent="0.25">
      <c r="A20" s="1"/>
      <c r="F20" s="1"/>
      <c r="G20" s="1"/>
    </row>
    <row r="21" spans="1:7" x14ac:dyDescent="0.25">
      <c r="A21" s="1"/>
      <c r="F21" s="1"/>
      <c r="G21" s="1"/>
    </row>
    <row r="22" spans="1:7" x14ac:dyDescent="0.25">
      <c r="A22" s="1"/>
      <c r="F22" s="1"/>
      <c r="G22" s="1"/>
    </row>
    <row r="23" spans="1:7" x14ac:dyDescent="0.25">
      <c r="A23" s="1"/>
      <c r="F23" s="1"/>
      <c r="G23" s="1"/>
    </row>
    <row r="24" spans="1:7" x14ac:dyDescent="0.25">
      <c r="A24" s="1"/>
      <c r="F24" s="1"/>
      <c r="G24" s="1"/>
    </row>
  </sheetData>
  <mergeCells count="15">
    <mergeCell ref="J2:L2"/>
    <mergeCell ref="A2:A3"/>
    <mergeCell ref="B2:B3"/>
    <mergeCell ref="C2:G2"/>
    <mergeCell ref="H2:H3"/>
    <mergeCell ref="I2:I3"/>
    <mergeCell ref="Z2:Z3"/>
    <mergeCell ref="AA2:AA3"/>
    <mergeCell ref="M2:M3"/>
    <mergeCell ref="N2:N3"/>
    <mergeCell ref="O2:Q2"/>
    <mergeCell ref="R2:R3"/>
    <mergeCell ref="S2:S3"/>
    <mergeCell ref="T2:V2"/>
    <mergeCell ref="W2:Y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75EA-DACA-4F2B-AF56-90C3474CA9A6}">
  <dimension ref="A2:AA24"/>
  <sheetViews>
    <sheetView workbookViewId="0">
      <pane xSplit="1" topLeftCell="U1" activePane="topRight" state="frozen"/>
      <selection pane="topRight" activeCell="Z8" sqref="Z8"/>
    </sheetView>
  </sheetViews>
  <sheetFormatPr baseColWidth="10" defaultColWidth="11.42578125" defaultRowHeight="15" x14ac:dyDescent="0.25"/>
  <cols>
    <col min="9" max="9" width="11.7109375" bestFit="1" customWidth="1"/>
  </cols>
  <sheetData>
    <row r="2" spans="1:27" s="5" customFormat="1" x14ac:dyDescent="0.25">
      <c r="A2" s="150" t="s">
        <v>0</v>
      </c>
      <c r="B2" s="150" t="s">
        <v>1</v>
      </c>
      <c r="C2" s="148" t="s">
        <v>2</v>
      </c>
      <c r="D2" s="149"/>
      <c r="E2" s="149"/>
      <c r="F2" s="149"/>
      <c r="G2" s="149"/>
      <c r="H2" s="152" t="s">
        <v>3</v>
      </c>
      <c r="I2" s="146" t="s">
        <v>4</v>
      </c>
      <c r="J2" s="149" t="s">
        <v>5</v>
      </c>
      <c r="K2" s="149"/>
      <c r="L2" s="149"/>
      <c r="M2" s="152" t="s">
        <v>3</v>
      </c>
      <c r="N2" s="146" t="s">
        <v>4</v>
      </c>
      <c r="O2" s="148" t="s">
        <v>6</v>
      </c>
      <c r="P2" s="149"/>
      <c r="Q2" s="149"/>
      <c r="R2" s="152" t="s">
        <v>3</v>
      </c>
      <c r="S2" s="146" t="s">
        <v>4</v>
      </c>
      <c r="T2" s="148" t="s">
        <v>7</v>
      </c>
      <c r="U2" s="149"/>
      <c r="V2" s="149"/>
      <c r="W2" s="148" t="s">
        <v>8</v>
      </c>
      <c r="X2" s="149"/>
      <c r="Y2" s="149"/>
      <c r="Z2" s="152" t="s">
        <v>3</v>
      </c>
      <c r="AA2" s="146" t="s">
        <v>4</v>
      </c>
    </row>
    <row r="3" spans="1:27" s="38" customFormat="1" x14ac:dyDescent="0.25">
      <c r="A3" s="151"/>
      <c r="B3" s="151"/>
      <c r="C3" s="37">
        <v>1</v>
      </c>
      <c r="D3" s="134">
        <v>2</v>
      </c>
      <c r="E3" s="134">
        <v>3</v>
      </c>
      <c r="F3" s="134">
        <v>4</v>
      </c>
      <c r="G3" s="134">
        <v>5</v>
      </c>
      <c r="H3" s="153"/>
      <c r="I3" s="147"/>
      <c r="J3" s="134">
        <v>1</v>
      </c>
      <c r="K3" s="134">
        <v>2</v>
      </c>
      <c r="L3" s="134">
        <v>3</v>
      </c>
      <c r="M3" s="153"/>
      <c r="N3" s="147"/>
      <c r="O3" s="37">
        <v>1</v>
      </c>
      <c r="P3" s="134">
        <v>2</v>
      </c>
      <c r="Q3" s="134">
        <v>3</v>
      </c>
      <c r="R3" s="153"/>
      <c r="S3" s="147"/>
      <c r="T3" s="37">
        <v>1</v>
      </c>
      <c r="U3" s="134">
        <v>2</v>
      </c>
      <c r="V3" s="134">
        <v>3</v>
      </c>
      <c r="W3" s="37">
        <v>1</v>
      </c>
      <c r="X3" s="134">
        <v>2</v>
      </c>
      <c r="Y3" s="134">
        <v>3</v>
      </c>
      <c r="Z3" s="153"/>
      <c r="AA3" s="147"/>
    </row>
    <row r="4" spans="1:27" x14ac:dyDescent="0.25">
      <c r="A4" s="34">
        <v>0</v>
      </c>
      <c r="B4" s="34">
        <v>0</v>
      </c>
      <c r="C4" s="19">
        <v>1532</v>
      </c>
      <c r="D4" s="1">
        <v>1514</v>
      </c>
      <c r="E4" s="1">
        <v>1525</v>
      </c>
      <c r="F4" s="1">
        <v>1522</v>
      </c>
      <c r="G4" s="1">
        <v>1539</v>
      </c>
      <c r="H4" s="40">
        <f>ROUNDDOWN(AVERAGE(C4:G4),0)</f>
        <v>1526</v>
      </c>
      <c r="I4" s="41">
        <f>_xlfn.STDEV.S(C4:G4)</f>
        <v>9.5551033484730041</v>
      </c>
      <c r="J4" s="56">
        <v>0.97899999999999998</v>
      </c>
      <c r="K4" s="36"/>
      <c r="L4" s="36"/>
      <c r="M4" s="58">
        <f>AVERAGE(J4:L4)</f>
        <v>0.97899999999999998</v>
      </c>
      <c r="N4" s="41" t="e">
        <f t="shared" ref="N4:N13" si="0">_xlfn.STDEV.S(J4:L4)</f>
        <v>#DIV/0!</v>
      </c>
      <c r="O4" s="56">
        <v>0</v>
      </c>
      <c r="P4" s="36"/>
      <c r="Q4" s="36"/>
      <c r="R4" s="58">
        <f>AVERAGE(O4:Q4)</f>
        <v>0</v>
      </c>
      <c r="S4" s="41" t="e">
        <f t="shared" ref="S4:S14" si="1">_xlfn.STDEV.S(O4:Q4)</f>
        <v>#DIV/0!</v>
      </c>
      <c r="T4" s="66">
        <v>0.91649999999999998</v>
      </c>
      <c r="U4" s="66">
        <v>0.91869999999999996</v>
      </c>
      <c r="V4" s="66">
        <v>0.91979999999999995</v>
      </c>
      <c r="W4" s="130">
        <v>0.88380000000000003</v>
      </c>
      <c r="X4" s="109">
        <v>0.87939999999999996</v>
      </c>
      <c r="Y4" s="109">
        <v>0.87649999999999995</v>
      </c>
      <c r="Z4" s="58">
        <f t="shared" ref="Z4:Z14" si="2">AVERAGE(T4:Y4)</f>
        <v>0.89911666666666668</v>
      </c>
      <c r="AA4" s="128">
        <f>_xlfn.STDEV.S(T4:Y4)</f>
        <v>2.1205415974855726E-2</v>
      </c>
    </row>
    <row r="5" spans="1:27" x14ac:dyDescent="0.25">
      <c r="A5" s="34">
        <v>1</v>
      </c>
      <c r="B5" s="34">
        <v>20</v>
      </c>
      <c r="C5" s="19">
        <v>1484</v>
      </c>
      <c r="D5" s="1">
        <v>1503</v>
      </c>
      <c r="E5" s="1">
        <v>1493</v>
      </c>
      <c r="F5" s="1">
        <v>1523</v>
      </c>
      <c r="G5" s="1">
        <v>1512</v>
      </c>
      <c r="H5" s="40">
        <f t="shared" ref="H5:H14" si="3">ROUNDDOWN(AVERAGE(C5:G5),0)</f>
        <v>1503</v>
      </c>
      <c r="I5" s="41">
        <f t="shared" ref="I5:I14" si="4">_xlfn.STDEV.S(C5:G5)</f>
        <v>15.346009253222807</v>
      </c>
      <c r="J5" s="56">
        <v>0.93600000000000005</v>
      </c>
      <c r="K5" s="36"/>
      <c r="L5" s="36"/>
      <c r="M5" s="58">
        <f t="shared" ref="M5:M13" si="5">AVERAGE(J5:L5)</f>
        <v>0.93600000000000005</v>
      </c>
      <c r="N5" s="41" t="e">
        <f t="shared" si="0"/>
        <v>#DIV/0!</v>
      </c>
      <c r="O5" s="55">
        <v>1.2E-2</v>
      </c>
      <c r="P5" s="36"/>
      <c r="Q5" s="36"/>
      <c r="R5" s="58">
        <f t="shared" ref="R5:R14" si="6">AVERAGE(O5:Q5)</f>
        <v>1.2E-2</v>
      </c>
      <c r="S5" s="129" t="e">
        <f t="shared" si="1"/>
        <v>#DIV/0!</v>
      </c>
      <c r="T5" s="127">
        <v>0.92087912087912083</v>
      </c>
      <c r="U5" s="56">
        <v>0.93736263736263736</v>
      </c>
      <c r="V5" s="66">
        <v>0.92087912087912083</v>
      </c>
      <c r="W5" s="127">
        <v>0.89264705882352935</v>
      </c>
      <c r="X5" s="56">
        <v>0.90294117647058814</v>
      </c>
      <c r="Y5" s="66">
        <v>0.90735294117647047</v>
      </c>
      <c r="Z5" s="58">
        <f t="shared" si="2"/>
        <v>0.91367700926524453</v>
      </c>
      <c r="AA5" s="128">
        <f t="shared" ref="AA5:AA14" si="7">_xlfn.STDEV.S(T5:Y5)</f>
        <v>1.5888741676625844E-2</v>
      </c>
    </row>
    <row r="6" spans="1:27" x14ac:dyDescent="0.25">
      <c r="A6" s="34">
        <v>2</v>
      </c>
      <c r="B6" s="34">
        <v>40</v>
      </c>
      <c r="C6" s="19">
        <v>1478</v>
      </c>
      <c r="D6" s="1">
        <v>1470</v>
      </c>
      <c r="E6" s="1">
        <v>1491</v>
      </c>
      <c r="F6" s="1">
        <v>1473</v>
      </c>
      <c r="G6" s="1">
        <v>1495</v>
      </c>
      <c r="H6" s="40">
        <f t="shared" si="3"/>
        <v>1481</v>
      </c>
      <c r="I6" s="41">
        <f t="shared" si="4"/>
        <v>11.058933040759403</v>
      </c>
      <c r="J6" s="66">
        <v>0.93600000000000005</v>
      </c>
      <c r="K6" s="36"/>
      <c r="L6" s="36"/>
      <c r="M6" s="58">
        <f t="shared" si="5"/>
        <v>0.93600000000000005</v>
      </c>
      <c r="N6" s="41" t="e">
        <f t="shared" si="0"/>
        <v>#DIV/0!</v>
      </c>
      <c r="O6" s="55">
        <v>1.4E-2</v>
      </c>
      <c r="P6" s="36"/>
      <c r="Q6" s="36"/>
      <c r="R6" s="58">
        <f t="shared" si="6"/>
        <v>1.4E-2</v>
      </c>
      <c r="S6" s="129" t="e">
        <f t="shared" si="1"/>
        <v>#DIV/0!</v>
      </c>
      <c r="T6" s="127">
        <v>0.93736263736263736</v>
      </c>
      <c r="U6" s="66">
        <v>0.92967032967032959</v>
      </c>
      <c r="V6" s="66">
        <v>0.93296703296703287</v>
      </c>
      <c r="W6" s="127">
        <v>0.91176470588235292</v>
      </c>
      <c r="X6" s="66">
        <v>0.90441176470588225</v>
      </c>
      <c r="Y6" s="66">
        <v>0.90441176470588225</v>
      </c>
      <c r="Z6" s="58">
        <f t="shared" si="2"/>
        <v>0.92009803921568611</v>
      </c>
      <c r="AA6" s="128">
        <f t="shared" si="7"/>
        <v>1.4945694726805174E-2</v>
      </c>
    </row>
    <row r="7" spans="1:27" x14ac:dyDescent="0.25">
      <c r="A7" s="34">
        <v>3</v>
      </c>
      <c r="B7" s="34">
        <v>60</v>
      </c>
      <c r="C7" s="19">
        <v>1468</v>
      </c>
      <c r="D7" s="1">
        <v>1470</v>
      </c>
      <c r="E7" s="1">
        <v>1458</v>
      </c>
      <c r="F7" s="1">
        <v>1450</v>
      </c>
      <c r="G7" s="1">
        <v>1444</v>
      </c>
      <c r="H7" s="40">
        <f t="shared" si="3"/>
        <v>1458</v>
      </c>
      <c r="I7" s="41">
        <f t="shared" si="4"/>
        <v>11.224972160321824</v>
      </c>
      <c r="J7" s="56">
        <v>0.83199999999999996</v>
      </c>
      <c r="K7" s="36"/>
      <c r="L7" s="36"/>
      <c r="M7" s="58">
        <f t="shared" si="5"/>
        <v>0.83199999999999996</v>
      </c>
      <c r="N7" s="41" t="e">
        <f t="shared" si="0"/>
        <v>#DIV/0!</v>
      </c>
      <c r="O7" s="55">
        <v>1.7999999999999999E-2</v>
      </c>
      <c r="P7" s="36"/>
      <c r="Q7" s="36"/>
      <c r="R7" s="58">
        <f t="shared" si="6"/>
        <v>1.7999999999999999E-2</v>
      </c>
      <c r="S7" s="129" t="e">
        <f t="shared" si="1"/>
        <v>#DIV/0!</v>
      </c>
      <c r="T7" s="127">
        <v>0.93076923076923068</v>
      </c>
      <c r="U7" s="66">
        <v>0.94505494505494503</v>
      </c>
      <c r="V7" s="66">
        <v>0.93296703296703287</v>
      </c>
      <c r="W7" s="127">
        <v>0.90735294117647047</v>
      </c>
      <c r="X7" s="66">
        <v>0.90147058823529402</v>
      </c>
      <c r="Y7" s="66">
        <v>0.91911764705882348</v>
      </c>
      <c r="Z7" s="58">
        <f t="shared" si="2"/>
        <v>0.92278873087696611</v>
      </c>
      <c r="AA7" s="128">
        <f t="shared" si="7"/>
        <v>1.6548559886317329E-2</v>
      </c>
    </row>
    <row r="8" spans="1:27" x14ac:dyDescent="0.25">
      <c r="A8" s="34">
        <v>4</v>
      </c>
      <c r="B8" s="34">
        <v>80</v>
      </c>
      <c r="C8" s="19">
        <v>1429</v>
      </c>
      <c r="D8" s="1">
        <v>1448</v>
      </c>
      <c r="E8" s="1">
        <v>1449</v>
      </c>
      <c r="F8" s="1">
        <v>1454</v>
      </c>
      <c r="G8" s="1">
        <v>1445</v>
      </c>
      <c r="H8" s="40">
        <f t="shared" si="3"/>
        <v>1445</v>
      </c>
      <c r="I8" s="41">
        <f t="shared" si="4"/>
        <v>9.5131487952202232</v>
      </c>
      <c r="J8" s="56">
        <v>0.90400000000000003</v>
      </c>
      <c r="K8" s="36"/>
      <c r="L8" s="36"/>
      <c r="M8" s="58">
        <f t="shared" si="5"/>
        <v>0.90400000000000003</v>
      </c>
      <c r="N8" s="41" t="e">
        <f t="shared" si="0"/>
        <v>#DIV/0!</v>
      </c>
      <c r="O8" s="55">
        <v>1.9E-2</v>
      </c>
      <c r="P8" s="36"/>
      <c r="Q8" s="36"/>
      <c r="R8" s="58">
        <f t="shared" si="6"/>
        <v>1.9E-2</v>
      </c>
      <c r="S8" s="129" t="e">
        <f t="shared" si="1"/>
        <v>#DIV/0!</v>
      </c>
      <c r="T8" s="127">
        <v>0.92967032967032959</v>
      </c>
      <c r="U8" s="66">
        <v>0.94175824175824174</v>
      </c>
      <c r="V8" s="66">
        <v>0.95274725274725269</v>
      </c>
      <c r="W8" s="127">
        <v>0.91323529411764703</v>
      </c>
      <c r="X8" s="66">
        <v>0.90735294117647047</v>
      </c>
      <c r="Y8" s="66">
        <v>0.9205882352941176</v>
      </c>
      <c r="Z8" s="58">
        <f t="shared" si="2"/>
        <v>0.92755871579400984</v>
      </c>
      <c r="AA8" s="128">
        <f t="shared" si="7"/>
        <v>1.7335334893964518E-2</v>
      </c>
    </row>
    <row r="9" spans="1:27" x14ac:dyDescent="0.25">
      <c r="A9" s="34">
        <v>5</v>
      </c>
      <c r="B9" s="34">
        <v>100</v>
      </c>
      <c r="C9" s="19">
        <v>1397</v>
      </c>
      <c r="D9" s="1">
        <v>1415</v>
      </c>
      <c r="E9" s="1">
        <v>1404</v>
      </c>
      <c r="F9" s="1">
        <v>1390</v>
      </c>
      <c r="G9" s="1">
        <v>1385</v>
      </c>
      <c r="H9" s="40">
        <f t="shared" si="3"/>
        <v>1398</v>
      </c>
      <c r="I9" s="41">
        <f t="shared" si="4"/>
        <v>11.819475453673906</v>
      </c>
      <c r="J9" s="56">
        <v>0.91</v>
      </c>
      <c r="K9" s="36"/>
      <c r="L9" s="36"/>
      <c r="M9" s="58">
        <f t="shared" si="5"/>
        <v>0.91</v>
      </c>
      <c r="N9" s="41" t="e">
        <f t="shared" si="0"/>
        <v>#DIV/0!</v>
      </c>
      <c r="O9" s="55">
        <v>0.02</v>
      </c>
      <c r="P9" s="36"/>
      <c r="Q9" s="36"/>
      <c r="R9" s="58">
        <f t="shared" si="6"/>
        <v>0.02</v>
      </c>
      <c r="S9" s="129" t="e">
        <f t="shared" si="1"/>
        <v>#DIV/0!</v>
      </c>
      <c r="T9" s="127">
        <v>0.94065934065934065</v>
      </c>
      <c r="U9" s="66">
        <v>0.94285714285714284</v>
      </c>
      <c r="V9" s="66">
        <v>0.94725274725274722</v>
      </c>
      <c r="W9" s="127">
        <v>0.9102941176470587</v>
      </c>
      <c r="X9" s="66">
        <v>0.91617647058823526</v>
      </c>
      <c r="Y9" s="66">
        <v>0.91911764705882348</v>
      </c>
      <c r="Z9" s="58">
        <f t="shared" si="2"/>
        <v>0.92939291101055799</v>
      </c>
      <c r="AA9" s="128">
        <f t="shared" si="7"/>
        <v>1.5951244349602572E-2</v>
      </c>
    </row>
    <row r="10" spans="1:27" x14ac:dyDescent="0.25">
      <c r="A10" s="34">
        <v>6</v>
      </c>
      <c r="B10" s="34">
        <v>120</v>
      </c>
      <c r="C10" s="19">
        <v>1388</v>
      </c>
      <c r="D10" s="1">
        <v>1396</v>
      </c>
      <c r="E10" s="1">
        <v>1376</v>
      </c>
      <c r="F10" s="1">
        <v>1366</v>
      </c>
      <c r="G10" s="1">
        <v>1392</v>
      </c>
      <c r="H10" s="40">
        <f t="shared" si="3"/>
        <v>1383</v>
      </c>
      <c r="I10" s="41">
        <f t="shared" si="4"/>
        <v>12.361229712289955</v>
      </c>
      <c r="J10" s="56">
        <v>0.92200000000000004</v>
      </c>
      <c r="K10" s="36"/>
      <c r="L10" s="36"/>
      <c r="M10" s="58">
        <f t="shared" si="5"/>
        <v>0.92200000000000004</v>
      </c>
      <c r="N10" s="41" t="e">
        <f t="shared" si="0"/>
        <v>#DIV/0!</v>
      </c>
      <c r="O10" s="55">
        <v>2.3E-2</v>
      </c>
      <c r="P10" s="36"/>
      <c r="Q10" s="36"/>
      <c r="R10" s="58">
        <f t="shared" si="6"/>
        <v>2.3E-2</v>
      </c>
      <c r="S10" s="129" t="e">
        <f t="shared" si="1"/>
        <v>#DIV/0!</v>
      </c>
      <c r="T10" s="127">
        <v>0.95494505494505488</v>
      </c>
      <c r="U10" s="66">
        <v>0.93956043956043955</v>
      </c>
      <c r="V10" s="66">
        <v>0.95494505494505488</v>
      </c>
      <c r="W10" s="127">
        <v>0.91470588235294115</v>
      </c>
      <c r="X10" s="66">
        <v>0.91764705882352937</v>
      </c>
      <c r="Y10" s="66">
        <v>0.92352941176470582</v>
      </c>
      <c r="Z10" s="58">
        <f t="shared" si="2"/>
        <v>0.93422215039862089</v>
      </c>
      <c r="AA10" s="128">
        <f t="shared" si="7"/>
        <v>1.8206196283151128E-2</v>
      </c>
    </row>
    <row r="11" spans="1:27" x14ac:dyDescent="0.25">
      <c r="A11" s="34">
        <v>7</v>
      </c>
      <c r="B11" s="34">
        <v>140</v>
      </c>
      <c r="C11" s="19">
        <v>1375</v>
      </c>
      <c r="D11" s="1">
        <v>1383</v>
      </c>
      <c r="E11" s="1">
        <v>1363</v>
      </c>
      <c r="F11" s="1">
        <v>1359</v>
      </c>
      <c r="G11" s="1">
        <v>1350</v>
      </c>
      <c r="H11" s="40">
        <f t="shared" si="3"/>
        <v>1366</v>
      </c>
      <c r="I11" s="41">
        <f t="shared" si="4"/>
        <v>13.076696830622021</v>
      </c>
      <c r="J11" s="56">
        <v>0.90500000000000003</v>
      </c>
      <c r="K11" s="36"/>
      <c r="L11" s="36"/>
      <c r="M11" s="58">
        <f t="shared" si="5"/>
        <v>0.90500000000000003</v>
      </c>
      <c r="N11" s="41" t="e">
        <f t="shared" si="0"/>
        <v>#DIV/0!</v>
      </c>
      <c r="O11" s="55">
        <v>2.4E-2</v>
      </c>
      <c r="P11" s="36"/>
      <c r="Q11" s="36"/>
      <c r="R11" s="58">
        <f t="shared" si="6"/>
        <v>2.4E-2</v>
      </c>
      <c r="S11" s="129" t="e">
        <f t="shared" si="1"/>
        <v>#DIV/0!</v>
      </c>
      <c r="T11" s="127">
        <v>0.95274725274725269</v>
      </c>
      <c r="U11" s="66">
        <v>0.95824175824175817</v>
      </c>
      <c r="V11" s="66">
        <v>0.96043956043956036</v>
      </c>
      <c r="W11" s="127">
        <v>0.92499999999999993</v>
      </c>
      <c r="X11" s="66">
        <v>0.91617647058823526</v>
      </c>
      <c r="Y11" s="66">
        <v>0.91911764705882348</v>
      </c>
      <c r="Z11" s="58">
        <f t="shared" si="2"/>
        <v>0.93862044817927159</v>
      </c>
      <c r="AA11" s="128">
        <f t="shared" si="7"/>
        <v>2.0640949910080059E-2</v>
      </c>
    </row>
    <row r="12" spans="1:27" x14ac:dyDescent="0.25">
      <c r="A12" s="34">
        <v>8</v>
      </c>
      <c r="B12" s="34">
        <v>160</v>
      </c>
      <c r="C12" s="19">
        <v>1346</v>
      </c>
      <c r="D12" s="1">
        <v>1332</v>
      </c>
      <c r="E12" s="1">
        <v>1350</v>
      </c>
      <c r="F12" s="1">
        <v>1351</v>
      </c>
      <c r="G12" s="1">
        <v>1356</v>
      </c>
      <c r="H12" s="40">
        <f t="shared" si="3"/>
        <v>1347</v>
      </c>
      <c r="I12" s="41">
        <f t="shared" si="4"/>
        <v>9.1104335791442992</v>
      </c>
      <c r="J12" s="56">
        <v>0.97</v>
      </c>
      <c r="K12" s="36"/>
      <c r="L12" s="36"/>
      <c r="M12" s="58">
        <f t="shared" si="5"/>
        <v>0.97</v>
      </c>
      <c r="N12" s="41" t="e">
        <f t="shared" si="0"/>
        <v>#DIV/0!</v>
      </c>
      <c r="O12" s="55">
        <v>2.7E-2</v>
      </c>
      <c r="P12" s="36"/>
      <c r="Q12" s="36"/>
      <c r="R12" s="58">
        <f t="shared" si="6"/>
        <v>2.7E-2</v>
      </c>
      <c r="S12" s="129" t="e">
        <f t="shared" si="1"/>
        <v>#DIV/0!</v>
      </c>
      <c r="T12" s="127">
        <v>0.96373626373626375</v>
      </c>
      <c r="U12" s="66">
        <v>0.9505494505494505</v>
      </c>
      <c r="V12" s="66">
        <v>0.96373626373626375</v>
      </c>
      <c r="W12" s="127">
        <v>0.92205882352941171</v>
      </c>
      <c r="X12" s="66">
        <v>0.9323529411764705</v>
      </c>
      <c r="Y12" s="66">
        <v>0.92499999999999993</v>
      </c>
      <c r="Z12" s="58">
        <f t="shared" si="2"/>
        <v>0.9429056237879766</v>
      </c>
      <c r="AA12" s="128">
        <f t="shared" si="7"/>
        <v>1.8935779695729554E-2</v>
      </c>
    </row>
    <row r="13" spans="1:27" x14ac:dyDescent="0.25">
      <c r="A13" s="34">
        <v>9</v>
      </c>
      <c r="B13" s="34">
        <v>180</v>
      </c>
      <c r="C13" s="19">
        <v>1336</v>
      </c>
      <c r="D13" s="1">
        <v>1303</v>
      </c>
      <c r="E13" s="1">
        <v>1324</v>
      </c>
      <c r="F13" s="1">
        <v>1342</v>
      </c>
      <c r="G13" s="1">
        <v>1317</v>
      </c>
      <c r="H13" s="40">
        <f t="shared" si="3"/>
        <v>1324</v>
      </c>
      <c r="I13" s="41">
        <f t="shared" si="4"/>
        <v>15.469324484281788</v>
      </c>
      <c r="J13" s="56">
        <v>0.92500000000000004</v>
      </c>
      <c r="K13" s="36"/>
      <c r="L13" s="36"/>
      <c r="M13" s="58">
        <f t="shared" si="5"/>
        <v>0.92500000000000004</v>
      </c>
      <c r="N13" s="41" t="e">
        <f t="shared" si="0"/>
        <v>#DIV/0!</v>
      </c>
      <c r="O13" s="55">
        <v>2.5000000000000001E-2</v>
      </c>
      <c r="P13" s="36"/>
      <c r="Q13" s="36"/>
      <c r="R13" s="58">
        <f t="shared" si="6"/>
        <v>2.5000000000000001E-2</v>
      </c>
      <c r="S13" s="129" t="e">
        <f t="shared" si="1"/>
        <v>#DIV/0!</v>
      </c>
      <c r="T13" s="127">
        <v>0.96703296703296704</v>
      </c>
      <c r="U13" s="66">
        <v>0.96373626373626375</v>
      </c>
      <c r="V13" s="66">
        <v>0.95604395604395598</v>
      </c>
      <c r="W13" s="127">
        <v>0.92941176470588227</v>
      </c>
      <c r="X13" s="66">
        <v>0.9323529411764705</v>
      </c>
      <c r="Y13" s="66">
        <v>0.93529411764705872</v>
      </c>
      <c r="Z13" s="58">
        <f t="shared" si="2"/>
        <v>0.94731200172376651</v>
      </c>
      <c r="AA13" s="128">
        <f t="shared" si="7"/>
        <v>1.6873300785957761E-2</v>
      </c>
    </row>
    <row r="14" spans="1:27" x14ac:dyDescent="0.25">
      <c r="A14" s="34" t="s">
        <v>9</v>
      </c>
      <c r="B14" s="34">
        <v>200</v>
      </c>
      <c r="C14" s="19">
        <v>1322</v>
      </c>
      <c r="D14" s="1">
        <v>1325</v>
      </c>
      <c r="E14" s="1">
        <v>1344</v>
      </c>
      <c r="F14" s="1">
        <v>1329</v>
      </c>
      <c r="G14" s="1">
        <v>1331</v>
      </c>
      <c r="H14" s="40">
        <f t="shared" si="3"/>
        <v>1330</v>
      </c>
      <c r="I14" s="41">
        <f t="shared" si="4"/>
        <v>8.4675852520066197</v>
      </c>
      <c r="J14" s="56">
        <v>0.96599999999999997</v>
      </c>
      <c r="K14" s="36"/>
      <c r="L14" s="36"/>
      <c r="M14" s="58">
        <f>AVERAGE(J14:L14)</f>
        <v>0.96599999999999997</v>
      </c>
      <c r="N14" s="41" t="e">
        <f>_xlfn.STDEV.S(J14:L14)</f>
        <v>#DIV/0!</v>
      </c>
      <c r="O14" s="55">
        <v>3.1E-2</v>
      </c>
      <c r="P14" s="36"/>
      <c r="Q14" s="36"/>
      <c r="R14" s="58">
        <f t="shared" si="6"/>
        <v>3.1E-2</v>
      </c>
      <c r="S14" s="129" t="e">
        <f t="shared" si="1"/>
        <v>#DIV/0!</v>
      </c>
      <c r="T14" s="127">
        <v>0.97142857142857142</v>
      </c>
      <c r="U14" s="66">
        <v>0.9758241758241758</v>
      </c>
      <c r="V14" s="66">
        <v>0.98021978021978018</v>
      </c>
      <c r="W14" s="127">
        <v>0.95147058823529407</v>
      </c>
      <c r="X14" s="66">
        <v>0.93529411764705872</v>
      </c>
      <c r="Y14" s="66">
        <v>0.94558823529411762</v>
      </c>
      <c r="Z14" s="58">
        <f t="shared" si="2"/>
        <v>0.95997091144149971</v>
      </c>
      <c r="AA14" s="128">
        <f t="shared" si="7"/>
        <v>1.8334021220180723E-2</v>
      </c>
    </row>
    <row r="16" spans="1:27" x14ac:dyDescent="0.25">
      <c r="A16" s="1"/>
      <c r="F16" s="1"/>
      <c r="G16" s="1"/>
    </row>
    <row r="17" spans="1:7" x14ac:dyDescent="0.25">
      <c r="A17" s="1"/>
      <c r="F17" s="1"/>
      <c r="G17" s="1"/>
    </row>
    <row r="18" spans="1:7" x14ac:dyDescent="0.25">
      <c r="A18" s="1"/>
      <c r="F18" s="1"/>
      <c r="G18" s="1"/>
    </row>
    <row r="19" spans="1:7" x14ac:dyDescent="0.25">
      <c r="A19" s="1"/>
      <c r="F19" s="1"/>
      <c r="G19" s="1"/>
    </row>
    <row r="20" spans="1:7" x14ac:dyDescent="0.25">
      <c r="A20" s="1"/>
      <c r="F20" s="1"/>
      <c r="G20" s="1"/>
    </row>
    <row r="21" spans="1:7" x14ac:dyDescent="0.25">
      <c r="A21" s="1"/>
      <c r="F21" s="1"/>
      <c r="G21" s="1"/>
    </row>
    <row r="22" spans="1:7" x14ac:dyDescent="0.25">
      <c r="A22" s="1"/>
      <c r="F22" s="1"/>
      <c r="G22" s="1"/>
    </row>
    <row r="23" spans="1:7" x14ac:dyDescent="0.25">
      <c r="A23" s="1"/>
      <c r="F23" s="1"/>
      <c r="G23" s="1"/>
    </row>
    <row r="24" spans="1:7" x14ac:dyDescent="0.25">
      <c r="A24" s="1"/>
      <c r="F24" s="1"/>
      <c r="G24" s="1"/>
    </row>
  </sheetData>
  <mergeCells count="15">
    <mergeCell ref="J2:L2"/>
    <mergeCell ref="A2:A3"/>
    <mergeCell ref="B2:B3"/>
    <mergeCell ref="C2:G2"/>
    <mergeCell ref="H2:H3"/>
    <mergeCell ref="I2:I3"/>
    <mergeCell ref="Z2:Z3"/>
    <mergeCell ref="AA2:AA3"/>
    <mergeCell ref="M2:M3"/>
    <mergeCell ref="N2:N3"/>
    <mergeCell ref="O2:Q2"/>
    <mergeCell ref="R2:R3"/>
    <mergeCell ref="S2:S3"/>
    <mergeCell ref="T2:V2"/>
    <mergeCell ref="W2:Y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3BC5-CBED-475B-921E-312C8F3ACDC6}">
  <dimension ref="A2:AE24"/>
  <sheetViews>
    <sheetView zoomScale="80" zoomScaleNormal="80" workbookViewId="0">
      <pane xSplit="1" topLeftCell="W1" activePane="topRight" state="frozen"/>
      <selection pane="topRight" activeCell="AH9" sqref="AH9"/>
    </sheetView>
  </sheetViews>
  <sheetFormatPr baseColWidth="10" defaultColWidth="11.42578125" defaultRowHeight="15" x14ac:dyDescent="0.25"/>
  <cols>
    <col min="9" max="9" width="11.7109375" bestFit="1" customWidth="1"/>
  </cols>
  <sheetData>
    <row r="2" spans="1:31" s="5" customFormat="1" x14ac:dyDescent="0.25">
      <c r="A2" s="150" t="s">
        <v>0</v>
      </c>
      <c r="B2" s="150" t="s">
        <v>1</v>
      </c>
      <c r="C2" s="148" t="s">
        <v>2</v>
      </c>
      <c r="D2" s="149"/>
      <c r="E2" s="149"/>
      <c r="F2" s="149"/>
      <c r="G2" s="149"/>
      <c r="H2" s="152" t="s">
        <v>3</v>
      </c>
      <c r="I2" s="146" t="s">
        <v>4</v>
      </c>
      <c r="J2" s="149" t="s">
        <v>5</v>
      </c>
      <c r="K2" s="149"/>
      <c r="L2" s="149"/>
      <c r="M2" s="152" t="s">
        <v>3</v>
      </c>
      <c r="N2" s="146" t="s">
        <v>4</v>
      </c>
      <c r="O2" s="148" t="s">
        <v>6</v>
      </c>
      <c r="P2" s="149"/>
      <c r="Q2" s="149"/>
      <c r="R2" s="152" t="s">
        <v>3</v>
      </c>
      <c r="S2" s="146" t="s">
        <v>4</v>
      </c>
      <c r="T2" s="148" t="s">
        <v>7</v>
      </c>
      <c r="U2" s="149"/>
      <c r="V2" s="149"/>
      <c r="W2" s="149"/>
      <c r="X2" s="149"/>
      <c r="Y2" s="148" t="s">
        <v>8</v>
      </c>
      <c r="Z2" s="149"/>
      <c r="AA2" s="149"/>
      <c r="AB2" s="149"/>
      <c r="AC2" s="149"/>
      <c r="AD2" s="152" t="s">
        <v>3</v>
      </c>
      <c r="AE2" s="146" t="s">
        <v>4</v>
      </c>
    </row>
    <row r="3" spans="1:31" s="38" customFormat="1" x14ac:dyDescent="0.25">
      <c r="A3" s="151"/>
      <c r="B3" s="151"/>
      <c r="C3" s="37">
        <v>1</v>
      </c>
      <c r="D3" s="134">
        <v>2</v>
      </c>
      <c r="E3" s="134">
        <v>3</v>
      </c>
      <c r="F3" s="134">
        <v>4</v>
      </c>
      <c r="G3" s="134">
        <v>5</v>
      </c>
      <c r="H3" s="153"/>
      <c r="I3" s="147"/>
      <c r="J3" s="134">
        <v>1</v>
      </c>
      <c r="K3" s="134">
        <v>2</v>
      </c>
      <c r="L3" s="134">
        <v>3</v>
      </c>
      <c r="M3" s="153"/>
      <c r="N3" s="147"/>
      <c r="O3" s="37">
        <v>1</v>
      </c>
      <c r="P3" s="134">
        <v>2</v>
      </c>
      <c r="Q3" s="134">
        <v>3</v>
      </c>
      <c r="R3" s="153"/>
      <c r="S3" s="147"/>
      <c r="T3" s="37">
        <v>1</v>
      </c>
      <c r="U3" s="134">
        <v>2</v>
      </c>
      <c r="V3" s="134">
        <v>3</v>
      </c>
      <c r="W3" s="134">
        <v>4</v>
      </c>
      <c r="X3" s="134">
        <v>5</v>
      </c>
      <c r="Y3" s="37">
        <v>1</v>
      </c>
      <c r="Z3" s="134">
        <v>2</v>
      </c>
      <c r="AA3" s="134">
        <v>3</v>
      </c>
      <c r="AB3" s="134">
        <v>4</v>
      </c>
      <c r="AC3" s="134">
        <v>5</v>
      </c>
      <c r="AD3" s="153"/>
      <c r="AE3" s="147"/>
    </row>
    <row r="4" spans="1:31" x14ac:dyDescent="0.25">
      <c r="A4" s="34">
        <v>0</v>
      </c>
      <c r="B4" s="34">
        <v>0</v>
      </c>
      <c r="C4" s="18">
        <v>1514</v>
      </c>
      <c r="D4" s="1">
        <v>1488</v>
      </c>
      <c r="E4" s="1">
        <v>1499</v>
      </c>
      <c r="F4" s="1">
        <v>1501</v>
      </c>
      <c r="G4" s="1">
        <v>1512</v>
      </c>
      <c r="H4" s="40">
        <f>ROUNDDOWN(AVERAGE(C4:G4),0)</f>
        <v>1502</v>
      </c>
      <c r="I4" s="41">
        <f>_xlfn.STDEV.S(C4:G4)</f>
        <v>10.56882207249228</v>
      </c>
      <c r="J4" s="36"/>
      <c r="K4" s="56">
        <v>0.99839999999999995</v>
      </c>
      <c r="L4" s="36"/>
      <c r="M4" s="57">
        <f>AVERAGE(J4:L4)</f>
        <v>0.99839999999999995</v>
      </c>
      <c r="N4" s="41" t="e">
        <f t="shared" ref="N4:N14" si="0">_xlfn.STDEV.S(J4:L4)</f>
        <v>#DIV/0!</v>
      </c>
      <c r="O4" s="36"/>
      <c r="P4" s="56">
        <v>0</v>
      </c>
      <c r="Q4" s="36"/>
      <c r="R4" s="57">
        <f>AVERAGE(O4:Q4)</f>
        <v>0</v>
      </c>
      <c r="S4" s="41" t="e">
        <f t="shared" ref="S4:S14" si="1">_xlfn.STDEV.S(O4:Q4)</f>
        <v>#DIV/0!</v>
      </c>
      <c r="T4" s="66">
        <v>0.9143</v>
      </c>
      <c r="U4" s="66">
        <v>0.92200000000000004</v>
      </c>
      <c r="V4" s="66">
        <v>0.91869999999999996</v>
      </c>
      <c r="W4" s="66"/>
      <c r="X4" s="66"/>
      <c r="Y4" s="130">
        <v>0.87060000000000004</v>
      </c>
      <c r="Z4" s="109">
        <v>0.88090000000000002</v>
      </c>
      <c r="AA4" s="109">
        <v>0.87939999999999996</v>
      </c>
      <c r="AB4" s="109"/>
      <c r="AC4" s="109"/>
      <c r="AD4" s="58">
        <f t="shared" ref="AD4:AD14" si="2">AVERAGE(T4:AC4)</f>
        <v>0.89764999999999995</v>
      </c>
      <c r="AE4" s="128">
        <f t="shared" ref="AE4:AE14" si="3">_xlfn.STDEV.S(T4:AC4)</f>
        <v>2.3058946203155076E-2</v>
      </c>
    </row>
    <row r="5" spans="1:31" x14ac:dyDescent="0.25">
      <c r="A5" s="34">
        <v>1</v>
      </c>
      <c r="B5" s="34">
        <v>20</v>
      </c>
      <c r="C5" s="19">
        <v>1475</v>
      </c>
      <c r="D5" s="1">
        <v>1488</v>
      </c>
      <c r="E5" s="1">
        <v>1491</v>
      </c>
      <c r="F5" s="1">
        <v>1504</v>
      </c>
      <c r="G5" s="1">
        <v>1529</v>
      </c>
      <c r="H5" s="40">
        <f t="shared" ref="H5:H14" si="4">ROUNDDOWN(AVERAGE(C5:G5),0)</f>
        <v>1497</v>
      </c>
      <c r="I5" s="41">
        <f t="shared" ref="I5:I14" si="5">_xlfn.STDEV.S(C5:G5)</f>
        <v>20.452383724153037</v>
      </c>
      <c r="J5" s="36"/>
      <c r="K5" s="56">
        <v>0.93489999999999995</v>
      </c>
      <c r="L5" s="36"/>
      <c r="M5" s="57">
        <f t="shared" ref="M5:M14" si="6">AVERAGE(J5:L5)</f>
        <v>0.93489999999999995</v>
      </c>
      <c r="N5" s="41" t="e">
        <f t="shared" si="0"/>
        <v>#DIV/0!</v>
      </c>
      <c r="O5" s="35"/>
      <c r="P5" s="56">
        <v>1.43E-2</v>
      </c>
      <c r="Q5" s="36"/>
      <c r="R5" s="57">
        <f t="shared" ref="R5:R14" si="7">AVERAGE(O5:Q5)</f>
        <v>1.43E-2</v>
      </c>
      <c r="S5" s="129" t="e">
        <f t="shared" si="1"/>
        <v>#DIV/0!</v>
      </c>
      <c r="T5" s="127">
        <v>0.9274725274725274</v>
      </c>
      <c r="U5" s="66">
        <v>0.93406593406593397</v>
      </c>
      <c r="V5" s="66">
        <v>0.92417582417582411</v>
      </c>
      <c r="W5" s="66">
        <v>0.92417582417582411</v>
      </c>
      <c r="X5" s="66">
        <v>0.92527472527472521</v>
      </c>
      <c r="Y5" s="127">
        <v>0.90735294117647047</v>
      </c>
      <c r="Z5" s="66">
        <v>0.90735294117647047</v>
      </c>
      <c r="AA5" s="66">
        <v>0.90441176470588225</v>
      </c>
      <c r="AB5" s="66">
        <v>0.90147058823529402</v>
      </c>
      <c r="AC5" s="66">
        <v>0.89117647058823524</v>
      </c>
      <c r="AD5" s="58">
        <f t="shared" si="2"/>
        <v>0.91469295410471863</v>
      </c>
      <c r="AE5" s="128">
        <f t="shared" si="3"/>
        <v>1.4030774786164331E-2</v>
      </c>
    </row>
    <row r="6" spans="1:31" x14ac:dyDescent="0.25">
      <c r="A6" s="34">
        <v>2</v>
      </c>
      <c r="B6" s="34">
        <v>40</v>
      </c>
      <c r="C6" s="19">
        <v>1485</v>
      </c>
      <c r="D6" s="1">
        <v>1491</v>
      </c>
      <c r="E6" s="1">
        <v>1500</v>
      </c>
      <c r="F6" s="1">
        <v>1485</v>
      </c>
      <c r="G6" s="1">
        <v>1485</v>
      </c>
      <c r="H6" s="40">
        <f t="shared" si="4"/>
        <v>1489</v>
      </c>
      <c r="I6" s="41">
        <f t="shared" si="5"/>
        <v>6.5726706900619938</v>
      </c>
      <c r="J6" s="36"/>
      <c r="K6" s="56">
        <v>1.0032000000000001</v>
      </c>
      <c r="L6" s="36"/>
      <c r="M6" s="57">
        <f t="shared" si="6"/>
        <v>1.0032000000000001</v>
      </c>
      <c r="N6" s="41" t="e">
        <f t="shared" si="0"/>
        <v>#DIV/0!</v>
      </c>
      <c r="O6" s="35"/>
      <c r="P6" s="56">
        <v>1.5900000000000001E-2</v>
      </c>
      <c r="Q6" s="36"/>
      <c r="R6" s="57">
        <f t="shared" si="7"/>
        <v>1.5900000000000001E-2</v>
      </c>
      <c r="S6" s="129" t="e">
        <f t="shared" si="1"/>
        <v>#DIV/0!</v>
      </c>
      <c r="T6" s="127">
        <v>0.93406593406593397</v>
      </c>
      <c r="U6" s="66">
        <v>0.93846153846153846</v>
      </c>
      <c r="V6" s="66">
        <v>0.93516483516483506</v>
      </c>
      <c r="W6" s="66">
        <v>0.93516483516483506</v>
      </c>
      <c r="X6" s="66">
        <v>0.94175824175824174</v>
      </c>
      <c r="Y6" s="127">
        <v>0.89705882352941169</v>
      </c>
      <c r="Z6" s="66">
        <v>0.9102941176470587</v>
      </c>
      <c r="AA6" s="66">
        <v>0.9205882352941176</v>
      </c>
      <c r="AB6" s="66">
        <v>0.90588235294117636</v>
      </c>
      <c r="AC6" s="66">
        <v>0.90735294117647047</v>
      </c>
      <c r="AD6" s="58">
        <f t="shared" si="2"/>
        <v>0.92257918552036178</v>
      </c>
      <c r="AE6" s="128">
        <f t="shared" si="3"/>
        <v>1.6280957744901237E-2</v>
      </c>
    </row>
    <row r="7" spans="1:31" x14ac:dyDescent="0.25">
      <c r="A7" s="34">
        <v>3</v>
      </c>
      <c r="B7" s="34">
        <v>60</v>
      </c>
      <c r="C7" s="19">
        <v>1452</v>
      </c>
      <c r="D7" s="1">
        <v>1464</v>
      </c>
      <c r="E7" s="1">
        <v>1453</v>
      </c>
      <c r="F7" s="1">
        <v>1471</v>
      </c>
      <c r="G7" s="1">
        <v>1471</v>
      </c>
      <c r="H7" s="40">
        <f t="shared" si="4"/>
        <v>1462</v>
      </c>
      <c r="I7" s="41">
        <f t="shared" si="5"/>
        <v>9.3112834775878248</v>
      </c>
      <c r="J7" s="36"/>
      <c r="K7" s="56">
        <v>0.96509999999999996</v>
      </c>
      <c r="L7" s="36"/>
      <c r="M7" s="57">
        <f t="shared" si="6"/>
        <v>0.96509999999999996</v>
      </c>
      <c r="N7" s="41" t="e">
        <f t="shared" si="0"/>
        <v>#DIV/0!</v>
      </c>
      <c r="O7" s="35"/>
      <c r="P7" s="56">
        <v>1.9E-2</v>
      </c>
      <c r="Q7" s="36"/>
      <c r="R7" s="57">
        <f t="shared" si="7"/>
        <v>1.9E-2</v>
      </c>
      <c r="S7" s="129" t="e">
        <f t="shared" si="1"/>
        <v>#DIV/0!</v>
      </c>
      <c r="T7" s="127">
        <v>0.93076923076923068</v>
      </c>
      <c r="U7" s="66">
        <v>0.93736263736263736</v>
      </c>
      <c r="V7" s="66">
        <v>0.93846153846153846</v>
      </c>
      <c r="W7" s="66">
        <v>0.94505494505494503</v>
      </c>
      <c r="X7" s="66">
        <v>0.94945054945054941</v>
      </c>
      <c r="Y7" s="127">
        <v>0.91617647058823526</v>
      </c>
      <c r="Z7" s="66">
        <v>0.90882352941176459</v>
      </c>
      <c r="AA7" s="66">
        <v>0.90882352941176459</v>
      </c>
      <c r="AB7" s="66">
        <v>0.90441176470588225</v>
      </c>
      <c r="AC7" s="66">
        <v>0.91470588235294115</v>
      </c>
      <c r="AD7" s="58">
        <f t="shared" si="2"/>
        <v>0.92540400775694887</v>
      </c>
      <c r="AE7" s="128">
        <f t="shared" si="3"/>
        <v>1.6655947133467856E-2</v>
      </c>
    </row>
    <row r="8" spans="1:31" x14ac:dyDescent="0.25">
      <c r="A8" s="34">
        <v>4</v>
      </c>
      <c r="B8" s="34">
        <v>80</v>
      </c>
      <c r="C8" s="19">
        <v>1430</v>
      </c>
      <c r="D8" s="1">
        <v>1445</v>
      </c>
      <c r="E8" s="1">
        <v>1454</v>
      </c>
      <c r="F8" s="1">
        <v>1464</v>
      </c>
      <c r="G8" s="1">
        <v>1465</v>
      </c>
      <c r="H8" s="40">
        <f t="shared" si="4"/>
        <v>1451</v>
      </c>
      <c r="I8" s="41">
        <f t="shared" si="5"/>
        <v>14.570518178843194</v>
      </c>
      <c r="J8" s="36"/>
      <c r="K8" s="56">
        <v>0.94599999999999995</v>
      </c>
      <c r="L8" s="36"/>
      <c r="M8" s="57">
        <f t="shared" si="6"/>
        <v>0.94599999999999995</v>
      </c>
      <c r="N8" s="41" t="e">
        <f t="shared" si="0"/>
        <v>#DIV/0!</v>
      </c>
      <c r="O8" s="35"/>
      <c r="P8" s="56">
        <v>2.2200000000000001E-2</v>
      </c>
      <c r="Q8" s="36"/>
      <c r="R8" s="57">
        <f t="shared" si="7"/>
        <v>2.2200000000000001E-2</v>
      </c>
      <c r="S8" s="129" t="e">
        <f t="shared" si="1"/>
        <v>#DIV/0!</v>
      </c>
      <c r="T8" s="127">
        <v>0.93516483516483506</v>
      </c>
      <c r="U8" s="66">
        <v>0.94285714285714284</v>
      </c>
      <c r="V8" s="66">
        <v>0.9516483516483516</v>
      </c>
      <c r="W8" s="66">
        <v>0.95274725274725269</v>
      </c>
      <c r="X8" s="66">
        <v>0.95384615384615379</v>
      </c>
      <c r="Y8" s="127">
        <v>0.90735294117647047</v>
      </c>
      <c r="Z8" s="66">
        <v>0.91470588235294115</v>
      </c>
      <c r="AA8" s="66">
        <v>0.93088235294117638</v>
      </c>
      <c r="AB8" s="66">
        <v>0.92794117647058816</v>
      </c>
      <c r="AC8" s="66">
        <v>0.91764705882352937</v>
      </c>
      <c r="AD8" s="58">
        <f t="shared" si="2"/>
        <v>0.93347931480284418</v>
      </c>
      <c r="AE8" s="128">
        <f t="shared" si="3"/>
        <v>1.676658311561157E-2</v>
      </c>
    </row>
    <row r="9" spans="1:31" x14ac:dyDescent="0.25">
      <c r="A9" s="34">
        <v>5</v>
      </c>
      <c r="B9" s="34">
        <v>100</v>
      </c>
      <c r="C9" s="19">
        <v>1418</v>
      </c>
      <c r="D9" s="1">
        <v>1440</v>
      </c>
      <c r="E9" s="1">
        <v>1423</v>
      </c>
      <c r="F9" s="1">
        <v>1413</v>
      </c>
      <c r="G9" s="1">
        <v>1412</v>
      </c>
      <c r="H9" s="40">
        <f t="shared" si="4"/>
        <v>1421</v>
      </c>
      <c r="I9" s="41">
        <f t="shared" si="5"/>
        <v>11.388590782006348</v>
      </c>
      <c r="J9" s="36"/>
      <c r="K9" s="56">
        <v>0.9194</v>
      </c>
      <c r="L9" s="36"/>
      <c r="M9" s="57">
        <f t="shared" si="6"/>
        <v>0.9194</v>
      </c>
      <c r="N9" s="41" t="e">
        <f t="shared" si="0"/>
        <v>#DIV/0!</v>
      </c>
      <c r="O9" s="35"/>
      <c r="P9" s="56">
        <v>3.0200000000000001E-2</v>
      </c>
      <c r="Q9" s="36"/>
      <c r="R9" s="57">
        <f t="shared" si="7"/>
        <v>3.0200000000000001E-2</v>
      </c>
      <c r="S9" s="129" t="e">
        <f t="shared" si="1"/>
        <v>#DIV/0!</v>
      </c>
      <c r="T9" s="127">
        <v>0.94065934065934065</v>
      </c>
      <c r="U9" s="66">
        <v>0.95714285714285707</v>
      </c>
      <c r="V9" s="66">
        <v>0.94175824175824174</v>
      </c>
      <c r="W9" s="66">
        <v>0.96263736263736266</v>
      </c>
      <c r="X9" s="66">
        <v>0.96043956043956036</v>
      </c>
      <c r="Y9" s="127">
        <v>0.9205882352941176</v>
      </c>
      <c r="Z9" s="66">
        <v>0.93088235294117638</v>
      </c>
      <c r="AA9" s="66">
        <v>0.91617647058823526</v>
      </c>
      <c r="AB9" s="66">
        <v>0.92647058823529405</v>
      </c>
      <c r="AC9" s="66">
        <v>0.92647058823529405</v>
      </c>
      <c r="AD9" s="58">
        <f t="shared" si="2"/>
        <v>0.93832255979314794</v>
      </c>
      <c r="AE9" s="128">
        <f t="shared" si="3"/>
        <v>1.6974130881972919E-2</v>
      </c>
    </row>
    <row r="10" spans="1:31" x14ac:dyDescent="0.25">
      <c r="A10" s="34">
        <v>6</v>
      </c>
      <c r="B10" s="34">
        <v>120</v>
      </c>
      <c r="C10" s="19">
        <v>1396</v>
      </c>
      <c r="D10" s="1">
        <v>1402</v>
      </c>
      <c r="E10" s="1">
        <v>1390</v>
      </c>
      <c r="F10" s="1">
        <v>1393</v>
      </c>
      <c r="G10" s="1">
        <v>1394</v>
      </c>
      <c r="H10" s="40">
        <f t="shared" si="4"/>
        <v>1395</v>
      </c>
      <c r="I10" s="41">
        <f t="shared" si="5"/>
        <v>4.4721359549995796</v>
      </c>
      <c r="J10" s="36"/>
      <c r="K10" s="56">
        <v>0.91</v>
      </c>
      <c r="L10" s="36"/>
      <c r="M10" s="57">
        <f t="shared" si="6"/>
        <v>0.91</v>
      </c>
      <c r="N10" s="41" t="e">
        <f t="shared" si="0"/>
        <v>#DIV/0!</v>
      </c>
      <c r="O10" s="35"/>
      <c r="P10" s="56">
        <v>3.49E-2</v>
      </c>
      <c r="Q10" s="36"/>
      <c r="R10" s="57">
        <f t="shared" si="7"/>
        <v>3.49E-2</v>
      </c>
      <c r="S10" s="129" t="e">
        <f t="shared" si="1"/>
        <v>#DIV/0!</v>
      </c>
      <c r="T10" s="127">
        <v>0.93626373626373616</v>
      </c>
      <c r="U10" s="66">
        <v>0.97912087912087908</v>
      </c>
      <c r="V10" s="66">
        <v>0.96593406593406594</v>
      </c>
      <c r="W10" s="66">
        <v>0.97692307692307689</v>
      </c>
      <c r="X10" s="66">
        <v>0.93516483516483506</v>
      </c>
      <c r="Y10" s="127">
        <v>0.92647058823529405</v>
      </c>
      <c r="Z10" s="66">
        <v>0.92794117647058816</v>
      </c>
      <c r="AA10" s="66">
        <v>0.92205882352941171</v>
      </c>
      <c r="AB10" s="66">
        <v>0.93088235294117638</v>
      </c>
      <c r="AC10" s="66">
        <v>0.93676470588235294</v>
      </c>
      <c r="AD10" s="58">
        <f t="shared" si="2"/>
        <v>0.9437524240465418</v>
      </c>
      <c r="AE10" s="128">
        <f t="shared" si="3"/>
        <v>2.1619972321516027E-2</v>
      </c>
    </row>
    <row r="11" spans="1:31" x14ac:dyDescent="0.25">
      <c r="A11" s="34">
        <v>7</v>
      </c>
      <c r="B11" s="34">
        <v>140</v>
      </c>
      <c r="C11" s="19">
        <v>1386</v>
      </c>
      <c r="D11" s="1">
        <v>1388</v>
      </c>
      <c r="E11" s="1">
        <v>1398</v>
      </c>
      <c r="F11" s="1">
        <v>1369</v>
      </c>
      <c r="G11" s="1">
        <v>1372</v>
      </c>
      <c r="H11" s="40">
        <f t="shared" si="4"/>
        <v>1382</v>
      </c>
      <c r="I11" s="41">
        <f t="shared" si="5"/>
        <v>11.991663771137015</v>
      </c>
      <c r="J11" s="36"/>
      <c r="K11" s="56">
        <v>0.88109999999999999</v>
      </c>
      <c r="L11" s="36"/>
      <c r="M11" s="57">
        <f t="shared" si="6"/>
        <v>0.88109999999999999</v>
      </c>
      <c r="N11" s="41" t="e">
        <f t="shared" si="0"/>
        <v>#DIV/0!</v>
      </c>
      <c r="O11" s="35"/>
      <c r="P11" s="56">
        <v>3.6499999999999998E-2</v>
      </c>
      <c r="Q11" s="36"/>
      <c r="R11" s="57">
        <f t="shared" si="7"/>
        <v>3.6499999999999998E-2</v>
      </c>
      <c r="S11" s="129" t="e">
        <f t="shared" si="1"/>
        <v>#DIV/0!</v>
      </c>
      <c r="T11" s="127">
        <v>0.94725274725274722</v>
      </c>
      <c r="U11" s="66">
        <v>0.96153846153846145</v>
      </c>
      <c r="V11" s="66">
        <v>0.96483516483516485</v>
      </c>
      <c r="W11" s="66">
        <v>0.96263736263736266</v>
      </c>
      <c r="X11" s="66">
        <v>0.96593406593406594</v>
      </c>
      <c r="Y11" s="127">
        <v>0.94264705882352939</v>
      </c>
      <c r="Z11" s="66">
        <v>0.93676470588235294</v>
      </c>
      <c r="AA11" s="66">
        <v>0.92794117647058816</v>
      </c>
      <c r="AB11" s="66">
        <v>0.92352941176470582</v>
      </c>
      <c r="AC11" s="66">
        <v>0.92941176470588227</v>
      </c>
      <c r="AD11" s="58">
        <f t="shared" si="2"/>
        <v>0.94624919198448598</v>
      </c>
      <c r="AE11" s="128">
        <f t="shared" si="3"/>
        <v>1.6580025853822265E-2</v>
      </c>
    </row>
    <row r="12" spans="1:31" x14ac:dyDescent="0.25">
      <c r="A12" s="34">
        <v>8</v>
      </c>
      <c r="B12" s="34">
        <v>160</v>
      </c>
      <c r="C12" s="19">
        <v>1345</v>
      </c>
      <c r="D12" s="1">
        <v>1368</v>
      </c>
      <c r="E12" s="1">
        <v>1334</v>
      </c>
      <c r="F12" s="1">
        <v>1363</v>
      </c>
      <c r="G12" s="1">
        <v>1371</v>
      </c>
      <c r="H12" s="40">
        <f t="shared" si="4"/>
        <v>1356</v>
      </c>
      <c r="I12" s="41">
        <f t="shared" si="5"/>
        <v>15.990622251807464</v>
      </c>
      <c r="J12" s="36"/>
      <c r="K12" s="56">
        <v>0.95399999999999996</v>
      </c>
      <c r="L12" s="36"/>
      <c r="M12" s="57">
        <f t="shared" si="6"/>
        <v>0.95399999999999996</v>
      </c>
      <c r="N12" s="41" t="e">
        <f t="shared" si="0"/>
        <v>#DIV/0!</v>
      </c>
      <c r="O12" s="35"/>
      <c r="P12" s="56">
        <v>4.1300000000000003E-2</v>
      </c>
      <c r="Q12" s="36"/>
      <c r="R12" s="57">
        <f t="shared" si="7"/>
        <v>4.1300000000000003E-2</v>
      </c>
      <c r="S12" s="129" t="e">
        <f t="shared" si="1"/>
        <v>#DIV/0!</v>
      </c>
      <c r="T12" s="127">
        <v>0.9758241758241758</v>
      </c>
      <c r="U12" s="66">
        <v>0.95714285714285707</v>
      </c>
      <c r="V12" s="66">
        <v>0.96153846153846145</v>
      </c>
      <c r="W12" s="66">
        <v>0.96813186813186813</v>
      </c>
      <c r="X12" s="66">
        <v>0.96703296703296704</v>
      </c>
      <c r="Y12" s="127">
        <v>0.92941176470588227</v>
      </c>
      <c r="Z12" s="66">
        <v>0.94411764705882351</v>
      </c>
      <c r="AA12" s="66">
        <v>0.93382352941176461</v>
      </c>
      <c r="AB12" s="66">
        <v>0.93823529411764706</v>
      </c>
      <c r="AC12" s="66">
        <v>0.95</v>
      </c>
      <c r="AD12" s="58">
        <f t="shared" si="2"/>
        <v>0.95252585649644461</v>
      </c>
      <c r="AE12" s="128">
        <f t="shared" si="3"/>
        <v>1.5862939587352236E-2</v>
      </c>
    </row>
    <row r="13" spans="1:31" x14ac:dyDescent="0.25">
      <c r="A13" s="34">
        <v>9</v>
      </c>
      <c r="B13" s="34">
        <v>180</v>
      </c>
      <c r="C13" s="19">
        <v>1328</v>
      </c>
      <c r="D13" s="1">
        <v>1327</v>
      </c>
      <c r="E13" s="1">
        <v>1335</v>
      </c>
      <c r="F13" s="1">
        <v>1337</v>
      </c>
      <c r="G13" s="1">
        <v>1344</v>
      </c>
      <c r="H13" s="40">
        <f t="shared" si="4"/>
        <v>1334</v>
      </c>
      <c r="I13" s="41">
        <f t="shared" si="5"/>
        <v>6.9785385289471611</v>
      </c>
      <c r="J13" s="36"/>
      <c r="K13" s="56">
        <v>0.93659999999999999</v>
      </c>
      <c r="L13" s="36"/>
      <c r="M13" s="57">
        <f t="shared" si="6"/>
        <v>0.93659999999999999</v>
      </c>
      <c r="N13" s="41" t="e">
        <f t="shared" si="0"/>
        <v>#DIV/0!</v>
      </c>
      <c r="O13" s="35"/>
      <c r="P13" s="56">
        <v>4.48E-2</v>
      </c>
      <c r="Q13" s="36"/>
      <c r="R13" s="57">
        <f t="shared" si="7"/>
        <v>4.48E-2</v>
      </c>
      <c r="S13" s="129" t="e">
        <f t="shared" si="1"/>
        <v>#DIV/0!</v>
      </c>
      <c r="T13" s="127">
        <v>0.98681318681318675</v>
      </c>
      <c r="U13" s="66">
        <v>0.98241758241758237</v>
      </c>
      <c r="V13" s="66">
        <v>0.96153846153846145</v>
      </c>
      <c r="W13" s="66">
        <v>0.9516483516483516</v>
      </c>
      <c r="X13" s="66">
        <v>0.98461538461538456</v>
      </c>
      <c r="Y13" s="127">
        <v>0.94117647058823528</v>
      </c>
      <c r="Z13" s="66">
        <v>0.95147058823529407</v>
      </c>
      <c r="AA13" s="66">
        <v>0.94705882352941173</v>
      </c>
      <c r="AB13" s="66">
        <v>0.93970588235294117</v>
      </c>
      <c r="AC13" s="66">
        <v>0.94264705882352939</v>
      </c>
      <c r="AD13" s="58">
        <f t="shared" si="2"/>
        <v>0.95890917905623796</v>
      </c>
      <c r="AE13" s="128">
        <f t="shared" si="3"/>
        <v>1.8841903921931774E-2</v>
      </c>
    </row>
    <row r="14" spans="1:31" x14ac:dyDescent="0.25">
      <c r="A14" s="34" t="s">
        <v>9</v>
      </c>
      <c r="B14" s="34">
        <v>200</v>
      </c>
      <c r="C14" s="19">
        <v>1349</v>
      </c>
      <c r="D14" s="1">
        <v>1337</v>
      </c>
      <c r="E14" s="1">
        <v>1326</v>
      </c>
      <c r="F14" s="1">
        <v>1326</v>
      </c>
      <c r="G14" s="1">
        <v>1317</v>
      </c>
      <c r="H14" s="40">
        <f t="shared" si="4"/>
        <v>1331</v>
      </c>
      <c r="I14" s="41">
        <f t="shared" si="5"/>
        <v>12.308533625091171</v>
      </c>
      <c r="J14" s="36"/>
      <c r="K14" s="56">
        <v>0.9204</v>
      </c>
      <c r="L14" s="36"/>
      <c r="M14" s="57">
        <f t="shared" si="6"/>
        <v>0.9204</v>
      </c>
      <c r="N14" s="41" t="e">
        <f t="shared" si="0"/>
        <v>#DIV/0!</v>
      </c>
      <c r="O14" s="35"/>
      <c r="P14" s="56">
        <v>5.0799999999999998E-2</v>
      </c>
      <c r="Q14" s="36"/>
      <c r="R14" s="57">
        <f t="shared" si="7"/>
        <v>5.0799999999999998E-2</v>
      </c>
      <c r="S14" s="129" t="e">
        <f t="shared" si="1"/>
        <v>#DIV/0!</v>
      </c>
      <c r="T14" s="127">
        <v>0.97802197802197799</v>
      </c>
      <c r="U14" s="66">
        <v>0.9747252747252747</v>
      </c>
      <c r="V14" s="66">
        <v>0.9747252747252747</v>
      </c>
      <c r="W14" s="66">
        <v>0.98131868131868127</v>
      </c>
      <c r="X14" s="66">
        <v>0.97362637362637361</v>
      </c>
      <c r="Y14" s="127">
        <v>0.94117647058823528</v>
      </c>
      <c r="Z14" s="66">
        <v>0.95147058823529407</v>
      </c>
      <c r="AA14" s="66">
        <v>0.95</v>
      </c>
      <c r="AB14" s="66">
        <v>0.95294117647058818</v>
      </c>
      <c r="AC14" s="66">
        <v>0.94117647058823528</v>
      </c>
      <c r="AD14" s="58">
        <f t="shared" si="2"/>
        <v>0.96191822882999356</v>
      </c>
      <c r="AE14" s="128">
        <f t="shared" si="3"/>
        <v>1.5961953757912206E-2</v>
      </c>
    </row>
    <row r="16" spans="1:31" x14ac:dyDescent="0.25">
      <c r="A16" s="1"/>
      <c r="F16" s="1"/>
      <c r="G16" s="1"/>
    </row>
    <row r="17" spans="1:14" x14ac:dyDescent="0.25">
      <c r="A17" s="1"/>
      <c r="F17" s="1"/>
      <c r="G17" s="1"/>
      <c r="H17" s="1"/>
      <c r="M17" s="1"/>
      <c r="N17" s="1"/>
    </row>
    <row r="18" spans="1:14" x14ac:dyDescent="0.25">
      <c r="A18" s="1"/>
      <c r="F18" s="1"/>
      <c r="G18" s="1"/>
      <c r="H18" s="1"/>
      <c r="M18" s="1"/>
      <c r="N18" s="1"/>
    </row>
    <row r="19" spans="1:14" x14ac:dyDescent="0.25">
      <c r="A19" s="1"/>
      <c r="F19" s="1"/>
      <c r="G19" s="1"/>
      <c r="H19" s="1"/>
      <c r="M19" s="1"/>
      <c r="N19" s="1"/>
    </row>
    <row r="20" spans="1:14" x14ac:dyDescent="0.25">
      <c r="A20" s="1"/>
      <c r="F20" s="1"/>
      <c r="G20" s="1"/>
      <c r="H20" s="1"/>
      <c r="M20" s="1"/>
      <c r="N20" s="1"/>
    </row>
    <row r="21" spans="1:14" x14ac:dyDescent="0.25">
      <c r="A21" s="1"/>
      <c r="F21" s="1"/>
      <c r="G21" s="1"/>
      <c r="H21" s="1"/>
      <c r="M21" s="1"/>
      <c r="N21" s="1"/>
    </row>
    <row r="22" spans="1:14" x14ac:dyDescent="0.25">
      <c r="A22" s="1"/>
      <c r="F22" s="1"/>
      <c r="G22" s="1"/>
    </row>
    <row r="23" spans="1:14" x14ac:dyDescent="0.25">
      <c r="A23" s="1"/>
      <c r="F23" s="1"/>
      <c r="G23" s="1"/>
    </row>
    <row r="24" spans="1:14" x14ac:dyDescent="0.25">
      <c r="A24" s="1"/>
      <c r="F24" s="1"/>
      <c r="G24" s="1"/>
    </row>
  </sheetData>
  <mergeCells count="15">
    <mergeCell ref="J2:L2"/>
    <mergeCell ref="A2:A3"/>
    <mergeCell ref="B2:B3"/>
    <mergeCell ref="C2:G2"/>
    <mergeCell ref="H2:H3"/>
    <mergeCell ref="I2:I3"/>
    <mergeCell ref="AD2:AD3"/>
    <mergeCell ref="AE2:AE3"/>
    <mergeCell ref="M2:M3"/>
    <mergeCell ref="N2:N3"/>
    <mergeCell ref="O2:Q2"/>
    <mergeCell ref="R2:R3"/>
    <mergeCell ref="S2:S3"/>
    <mergeCell ref="T2:X2"/>
    <mergeCell ref="Y2:AC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FB01-F925-4EA0-97AC-44BF57C255DF}">
  <dimension ref="A1:Z75"/>
  <sheetViews>
    <sheetView topLeftCell="A34" zoomScale="90" zoomScaleNormal="90" workbookViewId="0">
      <selection activeCell="N85" sqref="N85"/>
    </sheetView>
  </sheetViews>
  <sheetFormatPr baseColWidth="10" defaultColWidth="11.42578125" defaultRowHeight="15" x14ac:dyDescent="0.25"/>
  <cols>
    <col min="20" max="20" width="12" bestFit="1" customWidth="1"/>
    <col min="22" max="22" width="12" bestFit="1" customWidth="1"/>
    <col min="25" max="25" width="11.42578125" style="1"/>
  </cols>
  <sheetData>
    <row r="1" spans="1:26" x14ac:dyDescent="0.25">
      <c r="A1" s="140" t="s">
        <v>10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6" x14ac:dyDescent="0.25">
      <c r="A2" s="141" t="s">
        <v>11</v>
      </c>
      <c r="B2" s="141"/>
      <c r="C2" s="141"/>
      <c r="D2" s="141"/>
      <c r="E2" s="141"/>
      <c r="F2" s="141"/>
      <c r="G2" s="141"/>
      <c r="H2" s="141"/>
      <c r="I2" s="141"/>
      <c r="K2" s="139" t="s">
        <v>12</v>
      </c>
      <c r="L2" s="139"/>
      <c r="M2" s="139"/>
      <c r="N2" s="139"/>
      <c r="O2" s="139"/>
      <c r="P2" s="139"/>
      <c r="Q2" s="139"/>
      <c r="S2" s="139" t="s">
        <v>13</v>
      </c>
      <c r="T2" s="139"/>
      <c r="U2" s="139"/>
      <c r="V2" s="139"/>
      <c r="W2" s="139"/>
      <c r="X2" s="139"/>
      <c r="Y2" s="139"/>
    </row>
    <row r="3" spans="1:26" x14ac:dyDescent="0.25">
      <c r="A3" s="3" t="s">
        <v>0</v>
      </c>
      <c r="B3" s="13" t="s">
        <v>14</v>
      </c>
      <c r="C3" s="131">
        <v>1</v>
      </c>
      <c r="D3" s="131">
        <v>2</v>
      </c>
      <c r="E3" s="131">
        <v>3</v>
      </c>
      <c r="F3" s="131">
        <v>4</v>
      </c>
      <c r="G3" s="131">
        <v>5</v>
      </c>
      <c r="H3" s="17" t="s">
        <v>3</v>
      </c>
      <c r="I3" s="4" t="s">
        <v>4</v>
      </c>
      <c r="K3" s="13" t="s">
        <v>14</v>
      </c>
      <c r="L3" s="131">
        <v>1</v>
      </c>
      <c r="M3" s="131">
        <v>2</v>
      </c>
      <c r="N3" s="131">
        <v>3</v>
      </c>
      <c r="O3" s="131">
        <v>4</v>
      </c>
      <c r="P3" s="131">
        <v>5</v>
      </c>
      <c r="Q3" s="17" t="s">
        <v>3</v>
      </c>
      <c r="S3" s="3" t="s">
        <v>14</v>
      </c>
      <c r="T3" s="29">
        <v>1</v>
      </c>
      <c r="U3" s="131">
        <v>2</v>
      </c>
      <c r="V3" s="131">
        <v>3</v>
      </c>
      <c r="W3" s="131">
        <v>4</v>
      </c>
      <c r="X3" s="131">
        <v>5</v>
      </c>
      <c r="Y3" s="21" t="s">
        <v>3</v>
      </c>
    </row>
    <row r="4" spans="1:26" x14ac:dyDescent="0.25">
      <c r="A4" s="5" t="s">
        <v>15</v>
      </c>
      <c r="B4" s="6">
        <v>0</v>
      </c>
      <c r="C4" s="18">
        <f>'Lote 1'!C4</f>
        <v>1523</v>
      </c>
      <c r="D4" s="6">
        <f>'Lote 1'!D4</f>
        <v>1499</v>
      </c>
      <c r="E4" s="6">
        <f>'Lote 1'!E4</f>
        <v>1493</v>
      </c>
      <c r="F4" s="6">
        <f>'Lote 1'!F4</f>
        <v>1496</v>
      </c>
      <c r="G4" s="14">
        <f>'Lote 1'!G4</f>
        <v>1501</v>
      </c>
      <c r="H4" s="1">
        <f>ROUND(AVERAGE(C4:G4),0)</f>
        <v>1502</v>
      </c>
      <c r="I4" s="7">
        <f>_xlfn.STDEV.S(C4:G4)</f>
        <v>11.907980517283358</v>
      </c>
      <c r="K4" s="6">
        <v>0</v>
      </c>
      <c r="L4" s="83">
        <f>1/C4</f>
        <v>6.5659881812212733E-4</v>
      </c>
      <c r="M4" s="84">
        <f t="shared" ref="M4:P4" si="0">1/D4</f>
        <v>6.6711140760506999E-4</v>
      </c>
      <c r="N4" s="84">
        <f t="shared" si="0"/>
        <v>6.6979236436704619E-4</v>
      </c>
      <c r="O4" s="84">
        <f t="shared" si="0"/>
        <v>6.6844919786096253E-4</v>
      </c>
      <c r="P4" s="84">
        <f t="shared" si="0"/>
        <v>6.6622251832111927E-4</v>
      </c>
      <c r="Q4" s="89">
        <f>AVERAGE(L4:P4)</f>
        <v>6.6563486125526515E-4</v>
      </c>
      <c r="S4" s="6">
        <v>0</v>
      </c>
      <c r="T4" s="18">
        <v>0</v>
      </c>
      <c r="U4" s="6">
        <v>0</v>
      </c>
      <c r="V4" s="6">
        <v>0</v>
      </c>
      <c r="W4" s="6">
        <v>0</v>
      </c>
      <c r="X4" s="6">
        <v>0</v>
      </c>
      <c r="Y4" s="82">
        <v>0</v>
      </c>
    </row>
    <row r="5" spans="1:26" x14ac:dyDescent="0.25">
      <c r="A5">
        <v>1</v>
      </c>
      <c r="B5" s="1">
        <v>20</v>
      </c>
      <c r="C5" s="19">
        <f>'Lote 1'!C5</f>
        <v>1491</v>
      </c>
      <c r="D5" s="1">
        <f>'Lote 1'!D5</f>
        <v>1515</v>
      </c>
      <c r="E5" s="1">
        <f>'Lote 1'!E5</f>
        <v>1512</v>
      </c>
      <c r="F5" s="1">
        <f>'Lote 1'!F5</f>
        <v>1524</v>
      </c>
      <c r="G5" s="15">
        <f>'Lote 1'!G5</f>
        <v>1510</v>
      </c>
      <c r="H5" s="1">
        <f t="shared" ref="H5:H13" si="1">ROUND(AVERAGE(C5:G5),0)</f>
        <v>1510</v>
      </c>
      <c r="I5" s="8">
        <f t="shared" ref="I5:I14" si="2">_xlfn.STDEV.S(C5:G5)</f>
        <v>12.095453691366853</v>
      </c>
      <c r="K5" s="1">
        <v>20</v>
      </c>
      <c r="L5" s="85">
        <f t="shared" ref="L5:L13" si="3">1/C5</f>
        <v>6.7069081153588194E-4</v>
      </c>
      <c r="M5" s="86">
        <f t="shared" ref="M5:M13" si="4">1/D5</f>
        <v>6.6006600660066007E-4</v>
      </c>
      <c r="N5" s="86">
        <f t="shared" ref="N5:N13" si="5">1/E5</f>
        <v>6.6137566137566134E-4</v>
      </c>
      <c r="O5" s="86">
        <f t="shared" ref="O5:O13" si="6">1/F5</f>
        <v>6.5616797900262466E-4</v>
      </c>
      <c r="P5" s="86">
        <f t="shared" ref="P5:P13" si="7">1/G5</f>
        <v>6.6225165562913907E-4</v>
      </c>
      <c r="Q5" s="86">
        <f t="shared" ref="Q5:Q13" si="8">AVERAGE(L5:P5)</f>
        <v>6.621104228287934E-4</v>
      </c>
      <c r="S5" s="1">
        <v>20</v>
      </c>
      <c r="T5" s="93">
        <f t="shared" ref="T5:T14" si="9">(L5-$M$61)/$M$61</f>
        <v>1.3749161636485487E-2</v>
      </c>
      <c r="U5" s="94">
        <f t="shared" ref="U5:U14" si="10">(M5-$M$61)/$M$61</f>
        <v>-2.3102310231023653E-3</v>
      </c>
      <c r="V5" s="94">
        <f t="shared" ref="V5:V14" si="11">(N5-$M$61)/$M$61</f>
        <v>-3.3068783068795373E-4</v>
      </c>
      <c r="W5" s="94">
        <f t="shared" ref="W5:W14" si="12">(O5-$M$61)/$M$61</f>
        <v>-8.2020997375328898E-3</v>
      </c>
      <c r="X5" s="32">
        <f t="shared" ref="X5:X14" si="13">(P5-$M$61)/$M$61</f>
        <v>9.9337748344364009E-4</v>
      </c>
      <c r="Y5" s="92">
        <f>AVERAGE(T5:X5)</f>
        <v>7.7990410572118375E-4</v>
      </c>
    </row>
    <row r="6" spans="1:26" x14ac:dyDescent="0.25">
      <c r="A6">
        <v>2</v>
      </c>
      <c r="B6" s="1">
        <v>40</v>
      </c>
      <c r="C6" s="19">
        <f>'Lote 1'!C6</f>
        <v>1485</v>
      </c>
      <c r="D6" s="1">
        <f>'Lote 1'!D6</f>
        <v>1490</v>
      </c>
      <c r="E6" s="1">
        <f>'Lote 1'!E6</f>
        <v>1507</v>
      </c>
      <c r="F6" s="1">
        <f>'Lote 1'!F6</f>
        <v>1511</v>
      </c>
      <c r="G6" s="15">
        <f>'Lote 1'!G6</f>
        <v>1500</v>
      </c>
      <c r="H6" s="1">
        <f t="shared" si="1"/>
        <v>1499</v>
      </c>
      <c r="I6" s="8">
        <f t="shared" si="2"/>
        <v>11.013627921806693</v>
      </c>
      <c r="K6" s="1">
        <v>40</v>
      </c>
      <c r="L6" s="85">
        <f t="shared" si="3"/>
        <v>6.7340067340067344E-4</v>
      </c>
      <c r="M6" s="86">
        <f t="shared" si="4"/>
        <v>6.711409395973154E-4</v>
      </c>
      <c r="N6" s="86">
        <f t="shared" si="5"/>
        <v>6.6357000663570006E-4</v>
      </c>
      <c r="O6" s="86">
        <f>1/F6</f>
        <v>6.6181336863004633E-4</v>
      </c>
      <c r="P6" s="86">
        <f t="shared" si="7"/>
        <v>6.6666666666666664E-4</v>
      </c>
      <c r="Q6" s="86">
        <f t="shared" si="8"/>
        <v>6.6731833098608042E-4</v>
      </c>
      <c r="S6" s="1">
        <v>40</v>
      </c>
      <c r="T6" s="27">
        <f t="shared" si="9"/>
        <v>1.7845117845117831E-2</v>
      </c>
      <c r="U6" s="28">
        <f t="shared" si="10"/>
        <v>1.4429530201342159E-2</v>
      </c>
      <c r="V6" s="28">
        <f t="shared" si="11"/>
        <v>2.9860650298605793E-3</v>
      </c>
      <c r="W6" s="28">
        <f t="shared" si="12"/>
        <v>3.309066843149592E-4</v>
      </c>
      <c r="X6" s="33">
        <f t="shared" si="13"/>
        <v>7.6666666666665648E-3</v>
      </c>
      <c r="Y6" s="92">
        <f t="shared" ref="Y6:Y14" si="14">AVERAGE(T6:X6)</f>
        <v>8.6516572854604193E-3</v>
      </c>
    </row>
    <row r="7" spans="1:26" x14ac:dyDescent="0.25">
      <c r="A7">
        <v>3</v>
      </c>
      <c r="B7" s="1">
        <v>60</v>
      </c>
      <c r="C7" s="19">
        <f>'Lote 1'!C7</f>
        <v>1473</v>
      </c>
      <c r="D7" s="1">
        <f>'Lote 1'!D7</f>
        <v>1489</v>
      </c>
      <c r="E7" s="1">
        <f>'Lote 1'!E7</f>
        <v>1480</v>
      </c>
      <c r="F7" s="1">
        <f>'Lote 1'!F7</f>
        <v>1457</v>
      </c>
      <c r="G7" s="15">
        <f>'Lote 1'!G7</f>
        <v>1489</v>
      </c>
      <c r="H7" s="1">
        <f t="shared" si="1"/>
        <v>1478</v>
      </c>
      <c r="I7" s="8">
        <f>_xlfn.STDEV.S(C7:G7)</f>
        <v>13.334166640626627</v>
      </c>
      <c r="K7" s="1">
        <v>60</v>
      </c>
      <c r="L7" s="85">
        <f t="shared" si="3"/>
        <v>6.7888662593346908E-4</v>
      </c>
      <c r="M7" s="86">
        <f t="shared" si="4"/>
        <v>6.7159167226326397E-4</v>
      </c>
      <c r="N7" s="86">
        <f t="shared" si="5"/>
        <v>6.7567567567567571E-4</v>
      </c>
      <c r="O7" s="86">
        <f t="shared" si="6"/>
        <v>6.863417982155113E-4</v>
      </c>
      <c r="P7" s="86">
        <f t="shared" si="7"/>
        <v>6.7159167226326397E-4</v>
      </c>
      <c r="Q7" s="86">
        <f t="shared" si="8"/>
        <v>6.7681748887023685E-4</v>
      </c>
      <c r="S7" s="1">
        <v>60</v>
      </c>
      <c r="T7" s="27">
        <f t="shared" si="9"/>
        <v>2.6137135098438451E-2</v>
      </c>
      <c r="U7" s="28">
        <f t="shared" si="10"/>
        <v>1.5110812625923415E-2</v>
      </c>
      <c r="V7" s="28">
        <f t="shared" si="11"/>
        <v>2.1283783783783771E-2</v>
      </c>
      <c r="W7" s="28">
        <f t="shared" si="12"/>
        <v>3.7405628002745259E-2</v>
      </c>
      <c r="X7" s="33">
        <f t="shared" si="13"/>
        <v>1.5110812625923415E-2</v>
      </c>
      <c r="Y7" s="92">
        <f t="shared" si="14"/>
        <v>2.3009634427362861E-2</v>
      </c>
    </row>
    <row r="8" spans="1:26" x14ac:dyDescent="0.25">
      <c r="A8">
        <v>5</v>
      </c>
      <c r="B8" s="1">
        <v>80</v>
      </c>
      <c r="C8" s="19">
        <f>'Lote 1'!C8</f>
        <v>1439</v>
      </c>
      <c r="D8" s="1">
        <f>'Lote 1'!D8</f>
        <v>1450</v>
      </c>
      <c r="E8" s="1">
        <f>'Lote 1'!E8</f>
        <v>1471</v>
      </c>
      <c r="F8" s="1">
        <f>'Lote 1'!F8</f>
        <v>1477</v>
      </c>
      <c r="G8" s="15">
        <f>'Lote 1'!G8</f>
        <v>1448</v>
      </c>
      <c r="H8" s="1">
        <f t="shared" si="1"/>
        <v>1457</v>
      </c>
      <c r="I8" s="8">
        <f>_xlfn.STDEV.S(C8:G8)</f>
        <v>16.201851746019649</v>
      </c>
      <c r="K8" s="1">
        <v>80</v>
      </c>
      <c r="L8" s="85">
        <f t="shared" si="3"/>
        <v>6.9492703266157052E-4</v>
      </c>
      <c r="M8" s="86">
        <f t="shared" si="4"/>
        <v>6.8965517241379305E-4</v>
      </c>
      <c r="N8" s="86">
        <f t="shared" si="5"/>
        <v>6.7980965329707678E-4</v>
      </c>
      <c r="O8" s="86">
        <f t="shared" si="6"/>
        <v>6.770480704129993E-4</v>
      </c>
      <c r="P8" s="86">
        <f t="shared" si="7"/>
        <v>6.9060773480662981E-4</v>
      </c>
      <c r="Q8" s="86">
        <f t="shared" si="8"/>
        <v>6.8640953271841389E-4</v>
      </c>
      <c r="S8" s="1">
        <v>80</v>
      </c>
      <c r="T8" s="27">
        <f t="shared" si="9"/>
        <v>5.0382209867963768E-2</v>
      </c>
      <c r="U8" s="28">
        <f t="shared" si="10"/>
        <v>4.2413793103448123E-2</v>
      </c>
      <c r="V8" s="28">
        <f t="shared" si="11"/>
        <v>2.7532290958531481E-2</v>
      </c>
      <c r="W8" s="28">
        <f t="shared" si="12"/>
        <v>2.335815842924837E-2</v>
      </c>
      <c r="X8" s="33">
        <f t="shared" si="13"/>
        <v>4.3853591160220882E-2</v>
      </c>
      <c r="Y8" s="92">
        <f t="shared" si="14"/>
        <v>3.7508008703882524E-2</v>
      </c>
    </row>
    <row r="9" spans="1:26" x14ac:dyDescent="0.25">
      <c r="A9">
        <v>7</v>
      </c>
      <c r="B9" s="1">
        <v>100</v>
      </c>
      <c r="C9" s="19">
        <f>'Lote 1'!C9</f>
        <v>1441</v>
      </c>
      <c r="D9" s="1">
        <f>'Lote 1'!D9</f>
        <v>1431</v>
      </c>
      <c r="E9" s="1">
        <f>'Lote 1'!E9</f>
        <v>1443</v>
      </c>
      <c r="F9" s="1">
        <f>'Lote 1'!F9</f>
        <v>1440</v>
      </c>
      <c r="G9" s="15">
        <f>'Lote 1'!G9</f>
        <v>1460</v>
      </c>
      <c r="H9" s="1">
        <f t="shared" si="1"/>
        <v>1443</v>
      </c>
      <c r="I9" s="8">
        <f t="shared" si="2"/>
        <v>10.559356040971437</v>
      </c>
      <c r="K9" s="1">
        <v>100</v>
      </c>
      <c r="L9" s="85">
        <f t="shared" si="3"/>
        <v>6.939625260235947E-4</v>
      </c>
      <c r="M9" s="86">
        <f t="shared" si="4"/>
        <v>6.9881201956673651E-4</v>
      </c>
      <c r="N9" s="86">
        <f t="shared" si="5"/>
        <v>6.93000693000693E-4</v>
      </c>
      <c r="O9" s="86">
        <f t="shared" si="6"/>
        <v>6.9444444444444447E-4</v>
      </c>
      <c r="P9" s="86">
        <f t="shared" si="7"/>
        <v>6.8493150684931507E-4</v>
      </c>
      <c r="Q9" s="86">
        <f t="shared" si="8"/>
        <v>6.930302379769568E-4</v>
      </c>
      <c r="S9" s="1">
        <v>100</v>
      </c>
      <c r="T9" s="27">
        <f t="shared" si="9"/>
        <v>4.8924358084663319E-2</v>
      </c>
      <c r="U9" s="28">
        <f t="shared" si="10"/>
        <v>5.6254367575122172E-2</v>
      </c>
      <c r="V9" s="28">
        <f t="shared" si="11"/>
        <v>4.7470547470547401E-2</v>
      </c>
      <c r="W9" s="28">
        <f t="shared" si="12"/>
        <v>4.9652777777777747E-2</v>
      </c>
      <c r="X9" s="33">
        <f t="shared" si="13"/>
        <v>3.5273972602739664E-2</v>
      </c>
      <c r="Y9" s="92">
        <f t="shared" si="14"/>
        <v>4.7515204702170057E-2</v>
      </c>
    </row>
    <row r="10" spans="1:26" x14ac:dyDescent="0.25">
      <c r="A10">
        <v>9</v>
      </c>
      <c r="B10" s="1">
        <v>120</v>
      </c>
      <c r="C10" s="19">
        <f>'Lote 1'!C10</f>
        <v>1399</v>
      </c>
      <c r="D10" s="1">
        <f>'Lote 1'!D10</f>
        <v>1395</v>
      </c>
      <c r="E10" s="1">
        <f>'Lote 1'!E10</f>
        <v>1411</v>
      </c>
      <c r="F10" s="1">
        <f>'Lote 1'!F10</f>
        <v>1396</v>
      </c>
      <c r="G10" s="15">
        <f>'Lote 1'!G10</f>
        <v>1419</v>
      </c>
      <c r="H10" s="1">
        <f t="shared" si="1"/>
        <v>1404</v>
      </c>
      <c r="I10" s="8">
        <f t="shared" si="2"/>
        <v>10.535653752852738</v>
      </c>
      <c r="K10" s="1">
        <v>120</v>
      </c>
      <c r="L10" s="85">
        <f t="shared" si="3"/>
        <v>7.1479628305932811E-4</v>
      </c>
      <c r="M10" s="86">
        <f t="shared" si="4"/>
        <v>7.1684587813620072E-4</v>
      </c>
      <c r="N10" s="86">
        <f t="shared" si="5"/>
        <v>7.0871722182849046E-4</v>
      </c>
      <c r="O10" s="86">
        <f t="shared" si="6"/>
        <v>7.1633237822349568E-4</v>
      </c>
      <c r="P10" s="86">
        <f t="shared" si="7"/>
        <v>7.0472163495419312E-4</v>
      </c>
      <c r="Q10" s="86">
        <f t="shared" si="8"/>
        <v>7.1228267924034155E-4</v>
      </c>
      <c r="S10" s="1">
        <v>120</v>
      </c>
      <c r="T10" s="27">
        <f t="shared" si="9"/>
        <v>8.0414581844174368E-2</v>
      </c>
      <c r="U10" s="28">
        <f t="shared" si="10"/>
        <v>8.3512544802867308E-2</v>
      </c>
      <c r="V10" s="28">
        <f t="shared" si="11"/>
        <v>7.1226080793763247E-2</v>
      </c>
      <c r="W10" s="28">
        <f t="shared" si="12"/>
        <v>8.2736389684813644E-2</v>
      </c>
      <c r="X10" s="33">
        <f t="shared" si="13"/>
        <v>6.5186751233262841E-2</v>
      </c>
      <c r="Y10" s="92">
        <f t="shared" si="14"/>
        <v>7.6615269671776287E-2</v>
      </c>
    </row>
    <row r="11" spans="1:26" x14ac:dyDescent="0.25">
      <c r="A11">
        <v>10</v>
      </c>
      <c r="B11" s="1">
        <v>140</v>
      </c>
      <c r="C11" s="19">
        <f>'Lote 1'!C11</f>
        <v>1388</v>
      </c>
      <c r="D11" s="1">
        <f>'Lote 1'!D11</f>
        <v>1375</v>
      </c>
      <c r="E11" s="1">
        <f>'Lote 1'!E11</f>
        <v>1392</v>
      </c>
      <c r="F11" s="1">
        <f>'Lote 1'!F11</f>
        <v>1400</v>
      </c>
      <c r="G11" s="15">
        <f>'Lote 1'!G11</f>
        <v>1397</v>
      </c>
      <c r="H11" s="1">
        <f t="shared" si="1"/>
        <v>1390</v>
      </c>
      <c r="I11" s="8">
        <f t="shared" si="2"/>
        <v>9.7621718894926257</v>
      </c>
      <c r="K11" s="1">
        <v>140</v>
      </c>
      <c r="L11" s="85">
        <f t="shared" si="3"/>
        <v>7.2046109510086451E-4</v>
      </c>
      <c r="M11" s="86">
        <f t="shared" si="4"/>
        <v>7.2727272727272723E-4</v>
      </c>
      <c r="N11" s="86">
        <f t="shared" si="5"/>
        <v>7.1839080459770114E-4</v>
      </c>
      <c r="O11" s="86">
        <f t="shared" si="6"/>
        <v>7.1428571428571429E-4</v>
      </c>
      <c r="P11" s="86">
        <f t="shared" si="7"/>
        <v>7.158196134574087E-4</v>
      </c>
      <c r="Q11" s="86">
        <f t="shared" si="8"/>
        <v>7.1924599094288306E-4</v>
      </c>
      <c r="S11" s="1">
        <v>140</v>
      </c>
      <c r="T11" s="27">
        <f t="shared" si="9"/>
        <v>8.8976945244956626E-2</v>
      </c>
      <c r="U11" s="28">
        <f t="shared" si="10"/>
        <v>9.9272727272727138E-2</v>
      </c>
      <c r="V11" s="28">
        <f t="shared" si="11"/>
        <v>8.5847701149425193E-2</v>
      </c>
      <c r="W11" s="28">
        <f t="shared" si="12"/>
        <v>7.9642857142857071E-2</v>
      </c>
      <c r="X11" s="33">
        <f t="shared" si="13"/>
        <v>8.1961345740873187E-2</v>
      </c>
      <c r="Y11" s="92">
        <f t="shared" si="14"/>
        <v>8.7140315310167832E-2</v>
      </c>
    </row>
    <row r="12" spans="1:26" x14ac:dyDescent="0.25">
      <c r="A12">
        <v>11</v>
      </c>
      <c r="B12" s="1">
        <v>160</v>
      </c>
      <c r="C12" s="19">
        <f>'Lote 1'!C12</f>
        <v>1380</v>
      </c>
      <c r="D12" s="1">
        <f>'Lote 1'!D12</f>
        <v>1380</v>
      </c>
      <c r="E12" s="1">
        <f>'Lote 1'!E12</f>
        <v>1375</v>
      </c>
      <c r="F12" s="1">
        <f>'Lote 1'!F12</f>
        <v>1379</v>
      </c>
      <c r="G12" s="15">
        <f>'Lote 1'!G12</f>
        <v>1380</v>
      </c>
      <c r="H12" s="1">
        <f t="shared" si="1"/>
        <v>1379</v>
      </c>
      <c r="I12" s="8">
        <f>_xlfn.STDEV.S(C12:G12)</f>
        <v>2.16794833886788</v>
      </c>
      <c r="K12" s="1">
        <v>160</v>
      </c>
      <c r="L12" s="85">
        <f t="shared" si="3"/>
        <v>7.246376811594203E-4</v>
      </c>
      <c r="M12" s="86">
        <f t="shared" si="4"/>
        <v>7.246376811594203E-4</v>
      </c>
      <c r="N12" s="86">
        <f t="shared" si="5"/>
        <v>7.2727272727272723E-4</v>
      </c>
      <c r="O12" s="86">
        <f t="shared" si="6"/>
        <v>7.2516316171138508E-4</v>
      </c>
      <c r="P12" s="86">
        <f t="shared" si="7"/>
        <v>7.246376811594203E-4</v>
      </c>
      <c r="Q12" s="86">
        <f t="shared" si="8"/>
        <v>7.2526978649247473E-4</v>
      </c>
      <c r="S12" s="1">
        <v>160</v>
      </c>
      <c r="T12" s="27">
        <f t="shared" si="9"/>
        <v>9.5289855072463708E-2</v>
      </c>
      <c r="U12" s="28">
        <f t="shared" si="10"/>
        <v>9.5289855072463708E-2</v>
      </c>
      <c r="V12" s="28">
        <f t="shared" si="11"/>
        <v>9.9272727272727138E-2</v>
      </c>
      <c r="W12" s="28">
        <f t="shared" si="12"/>
        <v>9.6084118926758472E-2</v>
      </c>
      <c r="X12" s="33">
        <f t="shared" si="13"/>
        <v>9.5289855072463708E-2</v>
      </c>
      <c r="Y12" s="92">
        <f t="shared" si="14"/>
        <v>9.6245282283375339E-2</v>
      </c>
      <c r="Z12" s="107"/>
    </row>
    <row r="13" spans="1:26" x14ac:dyDescent="0.25">
      <c r="A13">
        <v>13</v>
      </c>
      <c r="B13" s="1">
        <v>180</v>
      </c>
      <c r="C13" s="48">
        <f>'Lote 1'!C13</f>
        <v>1359</v>
      </c>
      <c r="D13" s="9">
        <f>'Lote 1'!D13</f>
        <v>1376</v>
      </c>
      <c r="E13" s="9">
        <f>'Lote 1'!E13</f>
        <v>1383</v>
      </c>
      <c r="F13" s="9">
        <f>'Lote 1'!F13</f>
        <v>1379</v>
      </c>
      <c r="G13" s="22">
        <f>'Lote 1'!G13</f>
        <v>1382</v>
      </c>
      <c r="H13" s="1">
        <f t="shared" si="1"/>
        <v>1376</v>
      </c>
      <c r="I13" s="8">
        <f>_xlfn.STDEV.S(C12:G12)</f>
        <v>2.16794833886788</v>
      </c>
      <c r="K13" s="1">
        <v>180</v>
      </c>
      <c r="L13" s="85">
        <f t="shared" si="3"/>
        <v>7.3583517292126564E-4</v>
      </c>
      <c r="M13" s="86">
        <f t="shared" si="4"/>
        <v>7.2674418604651162E-4</v>
      </c>
      <c r="N13" s="86">
        <f t="shared" si="5"/>
        <v>7.2306579898770787E-4</v>
      </c>
      <c r="O13" s="86">
        <f t="shared" si="6"/>
        <v>7.2516316171138508E-4</v>
      </c>
      <c r="P13" s="86">
        <f t="shared" si="7"/>
        <v>7.2358900144717795E-4</v>
      </c>
      <c r="Q13" s="86">
        <f t="shared" si="8"/>
        <v>7.2687946422280965E-4</v>
      </c>
      <c r="S13" s="1">
        <v>180</v>
      </c>
      <c r="T13" s="27">
        <f t="shared" si="9"/>
        <v>0.11221486387049294</v>
      </c>
      <c r="U13" s="28">
        <f t="shared" si="10"/>
        <v>9.8473837209302237E-2</v>
      </c>
      <c r="V13" s="28">
        <f t="shared" si="11"/>
        <v>9.2913955169920362E-2</v>
      </c>
      <c r="W13" s="28">
        <f t="shared" si="12"/>
        <v>9.6084118926758472E-2</v>
      </c>
      <c r="X13" s="33">
        <f t="shared" si="13"/>
        <v>9.3704775687409397E-2</v>
      </c>
      <c r="Y13" s="31">
        <f t="shared" si="14"/>
        <v>9.8678310172776687E-2</v>
      </c>
    </row>
    <row r="14" spans="1:26" x14ac:dyDescent="0.25">
      <c r="A14" s="10" t="s">
        <v>9</v>
      </c>
      <c r="B14" s="16">
        <v>210</v>
      </c>
      <c r="C14" s="9">
        <f>'Lote 1'!C14</f>
        <v>1345</v>
      </c>
      <c r="D14" s="9">
        <f>'Lote 1'!D14</f>
        <v>1341</v>
      </c>
      <c r="E14" s="9">
        <f>'Lote 1'!E14</f>
        <v>1344</v>
      </c>
      <c r="F14" s="9">
        <f>'Lote 1'!F14</f>
        <v>1356</v>
      </c>
      <c r="G14" s="9">
        <f>'Lote 1'!G14</f>
        <v>1340</v>
      </c>
      <c r="H14" s="20">
        <f>ROUND(AVERAGE(C14:G14),0)</f>
        <v>1345</v>
      </c>
      <c r="I14" s="12">
        <f t="shared" si="2"/>
        <v>6.3796551630946325</v>
      </c>
      <c r="K14" s="11">
        <v>210</v>
      </c>
      <c r="L14" s="87">
        <f t="shared" ref="L14" si="15">1/C14</f>
        <v>7.4349442379182155E-4</v>
      </c>
      <c r="M14" s="88">
        <f t="shared" ref="M14" si="16">1/D14</f>
        <v>7.4571215510812821E-4</v>
      </c>
      <c r="N14" s="88">
        <f t="shared" ref="N14" si="17">1/E14</f>
        <v>7.4404761904761901E-4</v>
      </c>
      <c r="O14" s="88">
        <f t="shared" ref="O14" si="18">1/F14</f>
        <v>7.3746312684365781E-4</v>
      </c>
      <c r="P14" s="88">
        <f t="shared" ref="P14" si="19">1/G14</f>
        <v>7.4626865671641792E-4</v>
      </c>
      <c r="Q14" s="90">
        <f>AVERAGE(L14:P14)</f>
        <v>7.4339719630152888E-4</v>
      </c>
      <c r="S14" s="11">
        <v>210</v>
      </c>
      <c r="T14" s="95">
        <f t="shared" si="9"/>
        <v>0.12379182156133819</v>
      </c>
      <c r="U14" s="96">
        <f t="shared" si="10"/>
        <v>0.12714392244593573</v>
      </c>
      <c r="V14" s="96">
        <f t="shared" si="11"/>
        <v>0.12462797619047605</v>
      </c>
      <c r="W14" s="96">
        <f t="shared" si="12"/>
        <v>0.1146755162241887</v>
      </c>
      <c r="X14" s="97">
        <f t="shared" si="13"/>
        <v>0.12798507462686562</v>
      </c>
      <c r="Y14" s="99">
        <f t="shared" si="14"/>
        <v>0.12364486220976086</v>
      </c>
    </row>
    <row r="16" spans="1:26" x14ac:dyDescent="0.25">
      <c r="A16" s="140" t="s">
        <v>16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</row>
    <row r="17" spans="1:25" x14ac:dyDescent="0.25">
      <c r="A17" s="141" t="s">
        <v>11</v>
      </c>
      <c r="B17" s="141"/>
      <c r="C17" s="141"/>
      <c r="D17" s="141"/>
      <c r="E17" s="141"/>
      <c r="F17" s="141"/>
      <c r="G17" s="141"/>
      <c r="H17" s="141"/>
      <c r="I17" s="141"/>
      <c r="K17" s="139" t="s">
        <v>12</v>
      </c>
      <c r="L17" s="139"/>
      <c r="M17" s="139"/>
      <c r="N17" s="139"/>
      <c r="O17" s="139"/>
      <c r="P17" s="139"/>
      <c r="Q17" s="139"/>
      <c r="S17" s="139" t="s">
        <v>13</v>
      </c>
      <c r="T17" s="139"/>
      <c r="U17" s="139"/>
      <c r="V17" s="139"/>
      <c r="W17" s="139"/>
      <c r="X17" s="139"/>
      <c r="Y17" s="139"/>
    </row>
    <row r="18" spans="1:25" x14ac:dyDescent="0.25">
      <c r="A18" s="3" t="s">
        <v>0</v>
      </c>
      <c r="B18" s="13" t="s">
        <v>14</v>
      </c>
      <c r="C18" s="131">
        <v>1</v>
      </c>
      <c r="D18" s="131">
        <v>2</v>
      </c>
      <c r="E18" s="131">
        <v>3</v>
      </c>
      <c r="F18" s="131">
        <v>4</v>
      </c>
      <c r="G18" s="131">
        <v>5</v>
      </c>
      <c r="H18" s="21" t="s">
        <v>3</v>
      </c>
      <c r="I18" s="100" t="s">
        <v>4</v>
      </c>
      <c r="K18" s="13" t="s">
        <v>14</v>
      </c>
      <c r="L18" s="131">
        <v>1</v>
      </c>
      <c r="M18" s="131">
        <v>2</v>
      </c>
      <c r="N18" s="131">
        <v>3</v>
      </c>
      <c r="O18" s="131">
        <v>4</v>
      </c>
      <c r="P18" s="131">
        <v>5</v>
      </c>
      <c r="Q18" s="17" t="s">
        <v>3</v>
      </c>
      <c r="S18" s="3" t="s">
        <v>14</v>
      </c>
      <c r="T18" s="29">
        <v>1</v>
      </c>
      <c r="U18" s="131">
        <v>2</v>
      </c>
      <c r="V18" s="131">
        <v>3</v>
      </c>
      <c r="W18" s="131">
        <v>4</v>
      </c>
      <c r="X18" s="131">
        <v>5</v>
      </c>
      <c r="Y18" s="21" t="s">
        <v>3</v>
      </c>
    </row>
    <row r="19" spans="1:25" x14ac:dyDescent="0.25">
      <c r="A19" s="5" t="s">
        <v>15</v>
      </c>
      <c r="B19" s="6">
        <v>0</v>
      </c>
      <c r="C19" s="18">
        <f>'Lote 2'!C4</f>
        <v>1529</v>
      </c>
      <c r="D19" s="6">
        <f>'Lote 2'!D4</f>
        <v>1519</v>
      </c>
      <c r="E19" s="6">
        <f>'Lote 2'!E4</f>
        <v>1503</v>
      </c>
      <c r="F19" s="6">
        <f>'Lote 2'!F4</f>
        <v>1512</v>
      </c>
      <c r="G19" s="14">
        <f>'Lote 2'!G4</f>
        <v>1512</v>
      </c>
      <c r="H19" s="6">
        <f>ROUND(AVERAGE(C19:G19),0)</f>
        <v>1515</v>
      </c>
      <c r="I19" s="7">
        <f>_xlfn.STDEV.S(C19:G19)</f>
        <v>9.6695398029068578</v>
      </c>
      <c r="K19" s="6">
        <v>0</v>
      </c>
      <c r="L19" s="18">
        <f>1/C19</f>
        <v>6.5402223675604975E-4</v>
      </c>
      <c r="M19" s="6">
        <f t="shared" ref="M19:M29" si="20">1/D19</f>
        <v>6.583278472679394E-4</v>
      </c>
      <c r="N19" s="6">
        <f t="shared" ref="N19:N29" si="21">1/E19</f>
        <v>6.6533599467731206E-4</v>
      </c>
      <c r="O19" s="6">
        <f t="shared" ref="O19:O20" si="22">1/F19</f>
        <v>6.6137566137566134E-4</v>
      </c>
      <c r="P19" s="6">
        <f t="shared" ref="P19:P29" si="23">1/G19</f>
        <v>6.6137566137566134E-4</v>
      </c>
      <c r="Q19" s="6">
        <f>AVERAGE(L19:P19)</f>
        <v>6.6008748029052476E-4</v>
      </c>
      <c r="S19" s="6">
        <v>0</v>
      </c>
      <c r="T19" s="18">
        <v>0</v>
      </c>
      <c r="U19" s="6">
        <v>0</v>
      </c>
      <c r="V19" s="6">
        <v>0</v>
      </c>
      <c r="W19" s="6">
        <v>0</v>
      </c>
      <c r="X19" s="6">
        <v>0</v>
      </c>
      <c r="Y19" s="82">
        <v>0</v>
      </c>
    </row>
    <row r="20" spans="1:25" x14ac:dyDescent="0.25">
      <c r="A20">
        <v>1</v>
      </c>
      <c r="B20" s="1">
        <v>20</v>
      </c>
      <c r="C20" s="19">
        <f>'Lote 2'!C5</f>
        <v>1518</v>
      </c>
      <c r="D20" s="1">
        <f>'Lote 2'!D5</f>
        <v>1509</v>
      </c>
      <c r="E20" s="1">
        <f>'Lote 2'!E5</f>
        <v>1522</v>
      </c>
      <c r="F20" s="1">
        <f>'Lote 2'!F5</f>
        <v>1518</v>
      </c>
      <c r="G20" s="15">
        <f>'Lote 2'!G5</f>
        <v>1540</v>
      </c>
      <c r="H20" s="1">
        <f t="shared" ref="H20:H29" si="24">ROUND(AVERAGE(C20:G20),0)</f>
        <v>1521</v>
      </c>
      <c r="I20" s="8">
        <f t="shared" ref="I20:I29" si="25">_xlfn.STDEV.S(C20:G20)</f>
        <v>11.436782764396638</v>
      </c>
      <c r="K20" s="1">
        <v>20</v>
      </c>
      <c r="L20" s="19">
        <f t="shared" ref="L20:L29" si="26">1/C20</f>
        <v>6.5876152832674575E-4</v>
      </c>
      <c r="M20" s="1">
        <f t="shared" si="20"/>
        <v>6.6269052352551359E-4</v>
      </c>
      <c r="N20" s="1">
        <f t="shared" si="21"/>
        <v>6.5703022339027597E-4</v>
      </c>
      <c r="O20" s="1">
        <f t="shared" si="22"/>
        <v>6.5876152832674575E-4</v>
      </c>
      <c r="P20" s="1">
        <f t="shared" si="23"/>
        <v>6.4935064935064935E-4</v>
      </c>
      <c r="Q20" s="1">
        <f t="shared" ref="Q20:Q29" si="27">AVERAGE(L20:P20)</f>
        <v>6.5731889058398617E-4</v>
      </c>
      <c r="S20" s="1">
        <v>20</v>
      </c>
      <c r="T20" s="93">
        <f t="shared" ref="T20:T29" si="28">ABS((L20-$M$61)/$M$61)</f>
        <v>4.2819499341238722E-3</v>
      </c>
      <c r="U20" s="94">
        <f t="shared" ref="U20:U29" si="29">ABS((M20-$M$61)/$M$61)</f>
        <v>1.6567263088137225E-3</v>
      </c>
      <c r="V20" s="94">
        <f t="shared" ref="V20:V29" si="30">ABS((N20-$M$61)/$M$61)</f>
        <v>6.8988173455979442E-3</v>
      </c>
      <c r="W20" s="94">
        <f t="shared" ref="W20:W29" si="31">ABS((O20-$M$61)/$M$61)</f>
        <v>4.2819499341238722E-3</v>
      </c>
      <c r="X20" s="32">
        <f t="shared" ref="X20:X29" si="32">ABS((P20-$M$61)/$M$61)</f>
        <v>1.8506493506493575E-2</v>
      </c>
      <c r="Y20" s="92">
        <f>AVERAGE(T20:X20)</f>
        <v>7.1251874058305964E-3</v>
      </c>
    </row>
    <row r="21" spans="1:25" x14ac:dyDescent="0.25">
      <c r="A21">
        <v>2</v>
      </c>
      <c r="B21" s="1">
        <v>40</v>
      </c>
      <c r="C21" s="19">
        <f>'Lote 2'!C6</f>
        <v>1501</v>
      </c>
      <c r="D21" s="1">
        <f>'Lote 2'!D6</f>
        <v>1500</v>
      </c>
      <c r="E21" s="1">
        <f>'Lote 2'!E6</f>
        <v>1499</v>
      </c>
      <c r="F21" s="1">
        <f>'Lote 2'!F6</f>
        <v>1500</v>
      </c>
      <c r="G21" s="15">
        <f>'Lote 2'!G6</f>
        <v>1517</v>
      </c>
      <c r="H21" s="1">
        <f t="shared" si="24"/>
        <v>1503</v>
      </c>
      <c r="I21" s="8">
        <f t="shared" si="25"/>
        <v>7.6354436675284303</v>
      </c>
      <c r="K21" s="1">
        <v>40</v>
      </c>
      <c r="L21" s="19">
        <f t="shared" si="26"/>
        <v>6.6622251832111927E-4</v>
      </c>
      <c r="M21" s="1">
        <f t="shared" si="20"/>
        <v>6.6666666666666664E-4</v>
      </c>
      <c r="N21" s="1">
        <f t="shared" si="21"/>
        <v>6.6711140760506999E-4</v>
      </c>
      <c r="O21" s="1">
        <f>1/F21</f>
        <v>6.6666666666666664E-4</v>
      </c>
      <c r="P21" s="1">
        <f t="shared" si="23"/>
        <v>6.5919578114700061E-4</v>
      </c>
      <c r="Q21" s="1">
        <f t="shared" si="27"/>
        <v>6.6517260808130461E-4</v>
      </c>
      <c r="S21" s="1">
        <v>40</v>
      </c>
      <c r="T21" s="27">
        <f t="shared" si="28"/>
        <v>6.9953364423717031E-3</v>
      </c>
      <c r="U21" s="28">
        <f t="shared" si="29"/>
        <v>7.6666666666665648E-3</v>
      </c>
      <c r="V21" s="28">
        <f t="shared" si="30"/>
        <v>8.3388925950632267E-3</v>
      </c>
      <c r="W21" s="28">
        <f t="shared" si="31"/>
        <v>7.6666666666665648E-3</v>
      </c>
      <c r="X21" s="33">
        <f t="shared" si="32"/>
        <v>3.6255767963086515E-3</v>
      </c>
      <c r="Y21" s="92">
        <f t="shared" ref="Y21:Y29" si="33">AVERAGE(T21:X21)</f>
        <v>6.858627833415341E-3</v>
      </c>
    </row>
    <row r="22" spans="1:25" x14ac:dyDescent="0.25">
      <c r="A22">
        <v>3</v>
      </c>
      <c r="B22" s="1">
        <v>60</v>
      </c>
      <c r="C22" s="19">
        <f>'Lote 2'!C7</f>
        <v>1489</v>
      </c>
      <c r="D22" s="1">
        <f>'Lote 2'!D7</f>
        <v>1495</v>
      </c>
      <c r="E22" s="1">
        <f>'Lote 2'!E7</f>
        <v>1480</v>
      </c>
      <c r="F22" s="1">
        <f>'Lote 2'!F7</f>
        <v>1502</v>
      </c>
      <c r="G22" s="15">
        <f>'Lote 2'!G7</f>
        <v>1502</v>
      </c>
      <c r="H22" s="1">
        <f t="shared" si="24"/>
        <v>1494</v>
      </c>
      <c r="I22" s="8">
        <f t="shared" si="25"/>
        <v>9.3434469014384618</v>
      </c>
      <c r="K22" s="1">
        <v>60</v>
      </c>
      <c r="L22" s="19">
        <f t="shared" si="26"/>
        <v>6.7159167226326397E-4</v>
      </c>
      <c r="M22" s="1">
        <f t="shared" si="20"/>
        <v>6.6889632107023408E-4</v>
      </c>
      <c r="N22" s="1">
        <f t="shared" si="21"/>
        <v>6.7567567567567571E-4</v>
      </c>
      <c r="O22" s="1">
        <f t="shared" ref="O22:O29" si="34">1/F22</f>
        <v>6.6577896138482028E-4</v>
      </c>
      <c r="P22" s="1">
        <f t="shared" si="23"/>
        <v>6.6577896138482028E-4</v>
      </c>
      <c r="Q22" s="1">
        <f t="shared" si="27"/>
        <v>6.6954431835576287E-4</v>
      </c>
      <c r="S22" s="1">
        <v>60</v>
      </c>
      <c r="T22" s="27">
        <f t="shared" si="28"/>
        <v>1.5110812625923415E-2</v>
      </c>
      <c r="U22" s="28">
        <f t="shared" si="29"/>
        <v>1.1036789297658743E-2</v>
      </c>
      <c r="V22" s="28">
        <f t="shared" si="30"/>
        <v>2.1283783783783771E-2</v>
      </c>
      <c r="W22" s="28">
        <f t="shared" si="31"/>
        <v>6.3249001331557924E-3</v>
      </c>
      <c r="X22" s="33">
        <f t="shared" si="32"/>
        <v>6.3249001331557924E-3</v>
      </c>
      <c r="Y22" s="92">
        <f t="shared" si="33"/>
        <v>1.2016237194735503E-2</v>
      </c>
    </row>
    <row r="23" spans="1:25" x14ac:dyDescent="0.25">
      <c r="A23">
        <v>5</v>
      </c>
      <c r="B23" s="1">
        <v>80</v>
      </c>
      <c r="C23" s="19">
        <f>'Lote 2'!C8</f>
        <v>1451</v>
      </c>
      <c r="D23" s="1">
        <f>'Lote 2'!D8</f>
        <v>1464</v>
      </c>
      <c r="E23" s="1">
        <f>'Lote 2'!E8</f>
        <v>1474</v>
      </c>
      <c r="F23" s="1">
        <f>'Lote 2'!F8</f>
        <v>1470</v>
      </c>
      <c r="G23" s="15">
        <f>'Lote 2'!G8</f>
        <v>1487</v>
      </c>
      <c r="H23" s="1">
        <f t="shared" si="24"/>
        <v>1469</v>
      </c>
      <c r="I23" s="8">
        <f t="shared" si="25"/>
        <v>13.217412757419661</v>
      </c>
      <c r="K23" s="1">
        <v>80</v>
      </c>
      <c r="L23" s="19">
        <f t="shared" si="26"/>
        <v>6.8917987594762232E-4</v>
      </c>
      <c r="M23" s="1">
        <f t="shared" si="20"/>
        <v>6.8306010928961749E-4</v>
      </c>
      <c r="N23" s="1">
        <f>1/E23</f>
        <v>6.7842605156037987E-4</v>
      </c>
      <c r="O23" s="1">
        <f t="shared" si="34"/>
        <v>6.8027210884353737E-4</v>
      </c>
      <c r="P23" s="1">
        <f t="shared" si="23"/>
        <v>6.7249495628782783E-4</v>
      </c>
      <c r="Q23" s="1">
        <f t="shared" si="27"/>
        <v>6.80686620385797E-4</v>
      </c>
      <c r="S23" s="1">
        <v>80</v>
      </c>
      <c r="T23" s="27">
        <f t="shared" si="28"/>
        <v>4.1695382494831068E-2</v>
      </c>
      <c r="U23" s="28">
        <f t="shared" si="29"/>
        <v>3.2445355191256763E-2</v>
      </c>
      <c r="V23" s="28">
        <f t="shared" si="30"/>
        <v>2.54409769335141E-2</v>
      </c>
      <c r="W23" s="28">
        <f t="shared" si="31"/>
        <v>2.8231292517006661E-2</v>
      </c>
      <c r="X23" s="33">
        <f t="shared" si="32"/>
        <v>1.6476126429051698E-2</v>
      </c>
      <c r="Y23" s="92">
        <f t="shared" si="33"/>
        <v>2.8857826713132056E-2</v>
      </c>
    </row>
    <row r="24" spans="1:25" x14ac:dyDescent="0.25">
      <c r="A24">
        <v>7</v>
      </c>
      <c r="B24" s="1">
        <v>100</v>
      </c>
      <c r="C24" s="19">
        <f>'Lote 2'!C9</f>
        <v>1438</v>
      </c>
      <c r="D24" s="1">
        <f>'Lote 2'!D9</f>
        <v>1432</v>
      </c>
      <c r="E24" s="1">
        <f>'Lote 2'!E9</f>
        <v>1462</v>
      </c>
      <c r="F24" s="1">
        <f>'Lote 2'!F9</f>
        <v>1437</v>
      </c>
      <c r="G24" s="15">
        <f>'Lote 2'!G9</f>
        <v>1424</v>
      </c>
      <c r="H24" s="1">
        <f t="shared" si="24"/>
        <v>1439</v>
      </c>
      <c r="I24" s="8">
        <f t="shared" si="25"/>
        <v>14.205632685663812</v>
      </c>
      <c r="K24" s="1">
        <v>100</v>
      </c>
      <c r="L24" s="19">
        <f t="shared" si="26"/>
        <v>6.9541029207232264E-4</v>
      </c>
      <c r="M24" s="1">
        <f t="shared" si="20"/>
        <v>6.9832402234636874E-4</v>
      </c>
      <c r="N24" s="1">
        <f t="shared" si="21"/>
        <v>6.8399452804377564E-4</v>
      </c>
      <c r="O24" s="1">
        <f t="shared" si="34"/>
        <v>6.9589422407794019E-4</v>
      </c>
      <c r="P24" s="1">
        <f t="shared" si="23"/>
        <v>7.0224719101123594E-4</v>
      </c>
      <c r="Q24" s="1">
        <f t="shared" si="27"/>
        <v>6.9517405151032856E-4</v>
      </c>
      <c r="S24" s="1">
        <v>100</v>
      </c>
      <c r="T24" s="27">
        <f t="shared" si="28"/>
        <v>5.1112656467315595E-2</v>
      </c>
      <c r="U24" s="28">
        <f t="shared" si="29"/>
        <v>5.5516759776536279E-2</v>
      </c>
      <c r="V24" s="28">
        <f t="shared" si="30"/>
        <v>3.3857729138166807E-2</v>
      </c>
      <c r="W24" s="28">
        <f t="shared" si="31"/>
        <v>5.1844119693806527E-2</v>
      </c>
      <c r="X24" s="33">
        <f t="shared" si="32"/>
        <v>6.1446629213483046E-2</v>
      </c>
      <c r="Y24" s="92">
        <f t="shared" si="33"/>
        <v>5.0755578857861652E-2</v>
      </c>
    </row>
    <row r="25" spans="1:25" x14ac:dyDescent="0.25">
      <c r="A25">
        <v>9</v>
      </c>
      <c r="B25" s="1">
        <v>120</v>
      </c>
      <c r="C25" s="19">
        <f>'Lote 2'!C10</f>
        <v>1402</v>
      </c>
      <c r="D25" s="1">
        <f>'Lote 2'!D10</f>
        <v>1390</v>
      </c>
      <c r="E25" s="1">
        <f>'Lote 2'!E10</f>
        <v>1422</v>
      </c>
      <c r="F25" s="1">
        <f>'Lote 2'!F10</f>
        <v>1416</v>
      </c>
      <c r="G25" s="15">
        <f>'Lote 2'!G10</f>
        <v>1412</v>
      </c>
      <c r="H25" s="1">
        <f t="shared" si="24"/>
        <v>1408</v>
      </c>
      <c r="I25" s="8">
        <f t="shared" si="25"/>
        <v>12.601587201618692</v>
      </c>
      <c r="K25" s="1">
        <v>120</v>
      </c>
      <c r="L25" s="19">
        <f t="shared" si="26"/>
        <v>7.1326676176890159E-4</v>
      </c>
      <c r="M25" s="1">
        <f t="shared" si="20"/>
        <v>7.1942446043165469E-4</v>
      </c>
      <c r="N25" s="1">
        <f t="shared" si="21"/>
        <v>7.0323488045007034E-4</v>
      </c>
      <c r="O25" s="1">
        <f t="shared" si="34"/>
        <v>7.0621468926553672E-4</v>
      </c>
      <c r="P25" s="1">
        <f t="shared" si="23"/>
        <v>7.0821529745042496E-4</v>
      </c>
      <c r="Q25" s="1">
        <f t="shared" si="27"/>
        <v>7.1007121787331764E-4</v>
      </c>
      <c r="S25" s="1">
        <v>120</v>
      </c>
      <c r="T25" s="27">
        <f t="shared" si="28"/>
        <v>7.8102710413694681E-2</v>
      </c>
      <c r="U25" s="28">
        <f t="shared" si="29"/>
        <v>8.7410071942445988E-2</v>
      </c>
      <c r="V25" s="28">
        <f t="shared" si="30"/>
        <v>6.2939521800281242E-2</v>
      </c>
      <c r="W25" s="28">
        <f t="shared" si="31"/>
        <v>6.7443502824858684E-2</v>
      </c>
      <c r="X25" s="33">
        <f t="shared" si="32"/>
        <v>7.0467422096317262E-2</v>
      </c>
      <c r="Y25" s="92">
        <f t="shared" si="33"/>
        <v>7.327264581551958E-2</v>
      </c>
    </row>
    <row r="26" spans="1:25" x14ac:dyDescent="0.25">
      <c r="A26">
        <v>11</v>
      </c>
      <c r="B26" s="1">
        <v>140</v>
      </c>
      <c r="C26" s="19">
        <f>'Lote 2'!C11</f>
        <v>1383</v>
      </c>
      <c r="D26" s="1">
        <f>'Lote 2'!D11</f>
        <v>1397</v>
      </c>
      <c r="E26" s="1">
        <f>'Lote 2'!E11</f>
        <v>1380</v>
      </c>
      <c r="F26" s="1">
        <f>'Lote 2'!F11</f>
        <v>1386</v>
      </c>
      <c r="G26" s="15">
        <f>'Lote 2'!G11</f>
        <v>1384</v>
      </c>
      <c r="H26" s="1">
        <f t="shared" si="24"/>
        <v>1386</v>
      </c>
      <c r="I26" s="8">
        <f t="shared" si="25"/>
        <v>6.5192024052026492</v>
      </c>
      <c r="K26" s="1">
        <v>140</v>
      </c>
      <c r="L26" s="19">
        <f t="shared" si="26"/>
        <v>7.2306579898770787E-4</v>
      </c>
      <c r="M26" s="1">
        <f t="shared" si="20"/>
        <v>7.158196134574087E-4</v>
      </c>
      <c r="N26" s="1">
        <f t="shared" si="21"/>
        <v>7.246376811594203E-4</v>
      </c>
      <c r="O26" s="1">
        <f t="shared" si="34"/>
        <v>7.215007215007215E-4</v>
      </c>
      <c r="P26" s="1">
        <f t="shared" si="23"/>
        <v>7.2254335260115603E-4</v>
      </c>
      <c r="Q26" s="1">
        <f t="shared" si="27"/>
        <v>7.2151343354128297E-4</v>
      </c>
      <c r="S26" s="1">
        <v>140</v>
      </c>
      <c r="T26" s="27">
        <f t="shared" si="28"/>
        <v>9.2913955169920362E-2</v>
      </c>
      <c r="U26" s="28">
        <f t="shared" si="29"/>
        <v>8.1961345740873187E-2</v>
      </c>
      <c r="V26" s="28">
        <f t="shared" si="30"/>
        <v>9.5289855072463708E-2</v>
      </c>
      <c r="W26" s="28">
        <f t="shared" si="31"/>
        <v>9.0548340548340475E-2</v>
      </c>
      <c r="X26" s="33">
        <f t="shared" si="32"/>
        <v>9.2124277456647266E-2</v>
      </c>
      <c r="Y26" s="92">
        <f t="shared" si="33"/>
        <v>9.0567554797649011E-2</v>
      </c>
    </row>
    <row r="27" spans="1:25" x14ac:dyDescent="0.25">
      <c r="A27">
        <v>13</v>
      </c>
      <c r="B27" s="1">
        <v>160</v>
      </c>
      <c r="C27" s="19">
        <f>'Lote 2'!C12</f>
        <v>1374</v>
      </c>
      <c r="D27" s="1">
        <f>'Lote 2'!D12</f>
        <v>1360</v>
      </c>
      <c r="E27" s="1">
        <f>'Lote 2'!E12</f>
        <v>1357</v>
      </c>
      <c r="F27" s="1">
        <f>'Lote 2'!F12</f>
        <v>1374</v>
      </c>
      <c r="G27" s="15">
        <f>'Lote 2'!G12</f>
        <v>1356</v>
      </c>
      <c r="H27" s="1">
        <f t="shared" si="24"/>
        <v>1364</v>
      </c>
      <c r="I27" s="8">
        <f t="shared" si="25"/>
        <v>9.0664215653145099</v>
      </c>
      <c r="K27" s="1">
        <v>160</v>
      </c>
      <c r="L27" s="19">
        <f t="shared" si="26"/>
        <v>7.27802037845706E-4</v>
      </c>
      <c r="M27" s="1">
        <f t="shared" si="20"/>
        <v>7.3529411764705881E-4</v>
      </c>
      <c r="N27" s="1">
        <f t="shared" si="21"/>
        <v>7.3691967575534268E-4</v>
      </c>
      <c r="O27" s="1">
        <f t="shared" si="34"/>
        <v>7.27802037845706E-4</v>
      </c>
      <c r="P27" s="1">
        <f t="shared" si="23"/>
        <v>7.3746312684365781E-4</v>
      </c>
      <c r="Q27" s="1">
        <f t="shared" si="27"/>
        <v>7.3305619918749424E-4</v>
      </c>
      <c r="S27" s="1">
        <v>160</v>
      </c>
      <c r="T27" s="27">
        <f t="shared" si="28"/>
        <v>0.10007278020378454</v>
      </c>
      <c r="U27" s="28">
        <f t="shared" si="29"/>
        <v>0.11139705882352932</v>
      </c>
      <c r="V27" s="28">
        <f t="shared" si="30"/>
        <v>0.11385408990420039</v>
      </c>
      <c r="W27" s="28">
        <f t="shared" si="31"/>
        <v>0.10007278020378454</v>
      </c>
      <c r="X27" s="33">
        <f t="shared" si="32"/>
        <v>0.1146755162241887</v>
      </c>
      <c r="Y27" s="92">
        <f t="shared" si="33"/>
        <v>0.1080144450718975</v>
      </c>
    </row>
    <row r="28" spans="1:25" x14ac:dyDescent="0.25">
      <c r="A28">
        <v>15</v>
      </c>
      <c r="B28" s="1">
        <v>180</v>
      </c>
      <c r="C28" s="19">
        <f>'Lote 2'!C13</f>
        <v>1349</v>
      </c>
      <c r="D28" s="1">
        <f>'Lote 2'!D13</f>
        <v>1341</v>
      </c>
      <c r="E28" s="1">
        <f>'Lote 2'!E13</f>
        <v>1356</v>
      </c>
      <c r="F28" s="1">
        <f>'Lote 2'!F13</f>
        <v>1363</v>
      </c>
      <c r="G28" s="15">
        <f>'Lote 2'!G13</f>
        <v>1348</v>
      </c>
      <c r="H28" s="1">
        <f t="shared" si="24"/>
        <v>1351</v>
      </c>
      <c r="I28" s="101">
        <f t="shared" si="25"/>
        <v>8.3845095265018337</v>
      </c>
      <c r="K28" s="1">
        <v>180</v>
      </c>
      <c r="L28" s="19">
        <f t="shared" si="26"/>
        <v>7.4128984432913266E-4</v>
      </c>
      <c r="M28" s="1">
        <f t="shared" si="20"/>
        <v>7.4571215510812821E-4</v>
      </c>
      <c r="N28" s="1">
        <f t="shared" si="21"/>
        <v>7.3746312684365781E-4</v>
      </c>
      <c r="O28" s="1">
        <f t="shared" si="34"/>
        <v>7.3367571533382249E-4</v>
      </c>
      <c r="P28" s="1">
        <f t="shared" si="23"/>
        <v>7.4183976261127599E-4</v>
      </c>
      <c r="Q28" s="1">
        <f t="shared" si="27"/>
        <v>7.3999612084520345E-4</v>
      </c>
      <c r="S28" s="1">
        <v>180</v>
      </c>
      <c r="T28" s="27">
        <f t="shared" si="28"/>
        <v>0.12045959970348394</v>
      </c>
      <c r="U28" s="28">
        <f t="shared" si="29"/>
        <v>0.12714392244593573</v>
      </c>
      <c r="V28" s="28">
        <f t="shared" si="30"/>
        <v>0.1146755162241887</v>
      </c>
      <c r="W28" s="28">
        <f t="shared" si="31"/>
        <v>0.10895084372707262</v>
      </c>
      <c r="X28" s="33">
        <f t="shared" si="32"/>
        <v>0.12129080118694359</v>
      </c>
      <c r="Y28" s="31">
        <f t="shared" si="33"/>
        <v>0.11850413665752491</v>
      </c>
    </row>
    <row r="29" spans="1:25" x14ac:dyDescent="0.25">
      <c r="A29" s="10" t="s">
        <v>9</v>
      </c>
      <c r="B29" s="11">
        <v>210</v>
      </c>
      <c r="C29" s="20">
        <f>'Lote 2'!C14</f>
        <v>1353</v>
      </c>
      <c r="D29" s="11">
        <f>'Lote 2'!D14</f>
        <v>1350</v>
      </c>
      <c r="E29" s="11">
        <f>'Lote 2'!E14</f>
        <v>1342</v>
      </c>
      <c r="F29" s="11">
        <f>'Lote 2'!F14</f>
        <v>1359</v>
      </c>
      <c r="G29" s="16">
        <f>'Lote 2'!G14</f>
        <v>1336</v>
      </c>
      <c r="H29" s="11">
        <f t="shared" si="24"/>
        <v>1348</v>
      </c>
      <c r="I29" s="12">
        <f t="shared" si="25"/>
        <v>9.0829510622924747</v>
      </c>
      <c r="K29" s="11">
        <v>210</v>
      </c>
      <c r="L29" s="20">
        <f t="shared" si="26"/>
        <v>7.3909830007390983E-4</v>
      </c>
      <c r="M29" s="11">
        <f t="shared" si="20"/>
        <v>7.407407407407407E-4</v>
      </c>
      <c r="N29" s="11">
        <f t="shared" si="21"/>
        <v>7.4515648286140089E-4</v>
      </c>
      <c r="O29" s="11">
        <f t="shared" si="34"/>
        <v>7.3583517292126564E-4</v>
      </c>
      <c r="P29" s="11">
        <f t="shared" si="23"/>
        <v>7.4850299401197609E-4</v>
      </c>
      <c r="Q29" s="11">
        <f t="shared" si="27"/>
        <v>7.4186673812185865E-4</v>
      </c>
      <c r="S29" s="11">
        <v>210</v>
      </c>
      <c r="T29" s="95">
        <f t="shared" si="28"/>
        <v>0.11714708056171463</v>
      </c>
      <c r="U29" s="96">
        <f t="shared" si="29"/>
        <v>0.1196296296296295</v>
      </c>
      <c r="V29" s="96">
        <f t="shared" si="30"/>
        <v>0.12630402384500738</v>
      </c>
      <c r="W29" s="96">
        <f t="shared" si="31"/>
        <v>0.11221486387049294</v>
      </c>
      <c r="X29" s="97">
        <f t="shared" si="32"/>
        <v>0.13136227544910178</v>
      </c>
      <c r="Y29" s="31">
        <f t="shared" si="33"/>
        <v>0.12133157467118924</v>
      </c>
    </row>
    <row r="31" spans="1:25" x14ac:dyDescent="0.25">
      <c r="A31" s="140" t="s">
        <v>17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</row>
    <row r="32" spans="1:25" x14ac:dyDescent="0.25">
      <c r="A32" s="141" t="s">
        <v>11</v>
      </c>
      <c r="B32" s="141"/>
      <c r="C32" s="141"/>
      <c r="D32" s="141"/>
      <c r="E32" s="141"/>
      <c r="F32" s="141"/>
      <c r="G32" s="141"/>
      <c r="H32" s="141"/>
      <c r="I32" s="141"/>
      <c r="J32" s="132"/>
      <c r="K32" s="139" t="s">
        <v>12</v>
      </c>
      <c r="L32" s="139"/>
      <c r="M32" s="139"/>
      <c r="N32" s="139"/>
      <c r="O32" s="139"/>
      <c r="P32" s="139"/>
      <c r="Q32" s="139"/>
      <c r="R32" s="132"/>
      <c r="S32" s="139" t="s">
        <v>13</v>
      </c>
      <c r="T32" s="139"/>
      <c r="U32" s="139"/>
      <c r="V32" s="139"/>
      <c r="W32" s="139"/>
      <c r="X32" s="139"/>
      <c r="Y32" s="139"/>
    </row>
    <row r="33" spans="1:25" x14ac:dyDescent="0.25">
      <c r="A33" s="3" t="s">
        <v>0</v>
      </c>
      <c r="B33" s="13" t="s">
        <v>14</v>
      </c>
      <c r="C33" s="3">
        <v>1</v>
      </c>
      <c r="D33" s="3">
        <v>2</v>
      </c>
      <c r="E33" s="3">
        <v>3</v>
      </c>
      <c r="F33" s="3">
        <v>4</v>
      </c>
      <c r="G33" s="3">
        <v>5</v>
      </c>
      <c r="H33" s="21" t="s">
        <v>3</v>
      </c>
      <c r="I33" s="4" t="s">
        <v>4</v>
      </c>
      <c r="K33" s="13" t="s">
        <v>14</v>
      </c>
      <c r="L33" s="131">
        <v>1</v>
      </c>
      <c r="M33" s="131">
        <v>2</v>
      </c>
      <c r="N33" s="131">
        <v>3</v>
      </c>
      <c r="O33" s="131">
        <v>4</v>
      </c>
      <c r="P33" s="131">
        <v>5</v>
      </c>
      <c r="Q33" s="17" t="s">
        <v>3</v>
      </c>
      <c r="R33" s="1"/>
      <c r="S33" s="3" t="s">
        <v>14</v>
      </c>
      <c r="T33" s="29">
        <v>1</v>
      </c>
      <c r="U33" s="131">
        <v>2</v>
      </c>
      <c r="V33" s="131">
        <v>3</v>
      </c>
      <c r="W33" s="131">
        <v>4</v>
      </c>
      <c r="X33" s="131">
        <v>5</v>
      </c>
      <c r="Y33" s="21" t="s">
        <v>3</v>
      </c>
    </row>
    <row r="34" spans="1:25" x14ac:dyDescent="0.25">
      <c r="A34" s="5" t="s">
        <v>15</v>
      </c>
      <c r="B34" s="14">
        <v>0</v>
      </c>
      <c r="C34" s="18">
        <f>'Lote 3'!C4</f>
        <v>1532</v>
      </c>
      <c r="D34" s="6">
        <f>'Lote 3'!D4</f>
        <v>1514</v>
      </c>
      <c r="E34" s="6">
        <f>'Lote 3'!E4</f>
        <v>1525</v>
      </c>
      <c r="F34" s="6">
        <f>'Lote 3'!F4</f>
        <v>1522</v>
      </c>
      <c r="G34" s="14">
        <f>'Lote 3'!G4</f>
        <v>1539</v>
      </c>
      <c r="H34" s="18">
        <f>ROUND(AVERAGE(C34:G34),0)</f>
        <v>1526</v>
      </c>
      <c r="I34" s="7">
        <f>_xlfn.STDEV.S(C34:G34)</f>
        <v>9.5551033484730041</v>
      </c>
      <c r="K34" s="6">
        <v>0</v>
      </c>
      <c r="L34" s="18">
        <f>1/C34</f>
        <v>6.5274151436031332E-4</v>
      </c>
      <c r="M34" s="6">
        <f t="shared" ref="M34:M44" si="35">1/D34</f>
        <v>6.6050198150594452E-4</v>
      </c>
      <c r="N34" s="6">
        <f t="shared" ref="N34:N37" si="36">1/E34</f>
        <v>6.5573770491803279E-4</v>
      </c>
      <c r="O34" s="6">
        <f t="shared" ref="O34:O35" si="37">1/F34</f>
        <v>6.5703022339027597E-4</v>
      </c>
      <c r="P34" s="6">
        <f t="shared" ref="P34:P44" si="38">1/G34</f>
        <v>6.4977257959714096E-4</v>
      </c>
      <c r="Q34" s="6">
        <f>AVERAGE(L34:P34)</f>
        <v>6.5515680075434147E-4</v>
      </c>
      <c r="R34" s="1"/>
      <c r="S34" s="6">
        <v>0</v>
      </c>
      <c r="T34" s="18">
        <v>0</v>
      </c>
      <c r="U34" s="6">
        <v>0</v>
      </c>
      <c r="V34" s="6">
        <v>0</v>
      </c>
      <c r="W34" s="6">
        <v>0</v>
      </c>
      <c r="X34" s="6">
        <v>0</v>
      </c>
      <c r="Y34" s="82">
        <v>0</v>
      </c>
    </row>
    <row r="35" spans="1:25" x14ac:dyDescent="0.25">
      <c r="A35">
        <v>1</v>
      </c>
      <c r="B35" s="15">
        <v>20</v>
      </c>
      <c r="C35" s="19">
        <f>'Lote 3'!C5</f>
        <v>1484</v>
      </c>
      <c r="D35" s="1">
        <f>'Lote 3'!D5</f>
        <v>1503</v>
      </c>
      <c r="E35" s="1">
        <f>'Lote 3'!E5</f>
        <v>1493</v>
      </c>
      <c r="F35" s="1">
        <f>'Lote 3'!F5</f>
        <v>1523</v>
      </c>
      <c r="G35" s="15">
        <f>'Lote 3'!G5</f>
        <v>1512</v>
      </c>
      <c r="H35" s="19">
        <f t="shared" ref="H35:H44" si="39">ROUND(AVERAGE(C35:G35),0)</f>
        <v>1503</v>
      </c>
      <c r="I35" s="8">
        <f t="shared" ref="I35:I36" si="40">_xlfn.STDEV.S(C35:G35)</f>
        <v>15.346009253222807</v>
      </c>
      <c r="K35" s="1">
        <v>20</v>
      </c>
      <c r="L35" s="19">
        <f t="shared" ref="L35:L44" si="41">1/C35</f>
        <v>6.7385444743935314E-4</v>
      </c>
      <c r="M35" s="1">
        <f t="shared" si="35"/>
        <v>6.6533599467731206E-4</v>
      </c>
      <c r="N35" s="1">
        <f t="shared" si="36"/>
        <v>6.6979236436704619E-4</v>
      </c>
      <c r="O35" s="1">
        <f t="shared" si="37"/>
        <v>6.5659881812212733E-4</v>
      </c>
      <c r="P35" s="1">
        <f t="shared" si="38"/>
        <v>6.6137566137566134E-4</v>
      </c>
      <c r="Q35" s="1">
        <f t="shared" ref="Q35:Q44" si="42">AVERAGE(L35:P35)</f>
        <v>6.6539145719630001E-4</v>
      </c>
      <c r="R35" s="1"/>
      <c r="S35" s="1">
        <v>20</v>
      </c>
      <c r="T35" s="93">
        <f t="shared" ref="T35:T44" si="43">(L35-$M$61)/$M$61</f>
        <v>1.8530997304582197E-2</v>
      </c>
      <c r="U35" s="94">
        <f t="shared" ref="U35:U44" si="44">(M35-$M$61)/$M$61</f>
        <v>5.6553559547571092E-3</v>
      </c>
      <c r="V35" s="94">
        <f t="shared" ref="V35:V44" si="45">(N35-$M$61)/$M$61</f>
        <v>1.2391158740790251E-2</v>
      </c>
      <c r="W35" s="94">
        <f t="shared" ref="W35:W44" si="46">(O35-$M$61)/$M$61</f>
        <v>-7.5508864084046137E-3</v>
      </c>
      <c r="X35" s="32">
        <f t="shared" ref="X35:X44" si="47">(P35-$M$61)/$M$61</f>
        <v>-3.3068783068795373E-4</v>
      </c>
      <c r="Y35" s="92">
        <f>AVERAGE(T35:X35)</f>
        <v>5.7391875522073976E-3</v>
      </c>
    </row>
    <row r="36" spans="1:25" x14ac:dyDescent="0.25">
      <c r="A36">
        <v>2</v>
      </c>
      <c r="B36" s="15">
        <v>40</v>
      </c>
      <c r="C36" s="19">
        <f>'Lote 3'!C6</f>
        <v>1478</v>
      </c>
      <c r="D36" s="1">
        <f>'Lote 3'!D6</f>
        <v>1470</v>
      </c>
      <c r="E36" s="1">
        <f>'Lote 3'!E6</f>
        <v>1491</v>
      </c>
      <c r="F36" s="1">
        <f>'Lote 3'!F6</f>
        <v>1473</v>
      </c>
      <c r="G36" s="15">
        <f>'Lote 3'!G6</f>
        <v>1495</v>
      </c>
      <c r="H36" s="19">
        <f t="shared" si="39"/>
        <v>1481</v>
      </c>
      <c r="I36" s="8">
        <f t="shared" si="40"/>
        <v>11.058933040759403</v>
      </c>
      <c r="K36" s="1">
        <v>40</v>
      </c>
      <c r="L36" s="19">
        <f t="shared" si="41"/>
        <v>6.7658998646820032E-4</v>
      </c>
      <c r="M36" s="1">
        <f t="shared" si="35"/>
        <v>6.8027210884353737E-4</v>
      </c>
      <c r="N36" s="1">
        <f t="shared" si="36"/>
        <v>6.7069081153588194E-4</v>
      </c>
      <c r="O36" s="1">
        <f>1/F36</f>
        <v>6.7888662593346908E-4</v>
      </c>
      <c r="P36" s="1">
        <f t="shared" si="38"/>
        <v>6.6889632107023408E-4</v>
      </c>
      <c r="Q36" s="1">
        <f t="shared" si="42"/>
        <v>6.7506717077026458E-4</v>
      </c>
      <c r="R36" s="1"/>
      <c r="S36" s="1">
        <v>40</v>
      </c>
      <c r="T36" s="27">
        <f t="shared" si="43"/>
        <v>2.2665764546684716E-2</v>
      </c>
      <c r="U36" s="28">
        <f t="shared" si="44"/>
        <v>2.8231292517006661E-2</v>
      </c>
      <c r="V36" s="28">
        <f t="shared" si="45"/>
        <v>1.3749161636485487E-2</v>
      </c>
      <c r="W36" s="28">
        <f t="shared" si="46"/>
        <v>2.6137135098438451E-2</v>
      </c>
      <c r="X36" s="33">
        <f t="shared" si="47"/>
        <v>1.1036789297658743E-2</v>
      </c>
      <c r="Y36" s="92">
        <f t="shared" ref="Y36:Y44" si="48">AVERAGE(T36:X36)</f>
        <v>2.0364028619254813E-2</v>
      </c>
    </row>
    <row r="37" spans="1:25" x14ac:dyDescent="0.25">
      <c r="A37">
        <v>3</v>
      </c>
      <c r="B37" s="15">
        <v>60</v>
      </c>
      <c r="C37" s="19">
        <f>'Lote 3'!C7</f>
        <v>1468</v>
      </c>
      <c r="D37" s="1">
        <f>'Lote 3'!D7</f>
        <v>1470</v>
      </c>
      <c r="E37" s="1">
        <f>'Lote 3'!E7</f>
        <v>1458</v>
      </c>
      <c r="F37" s="1">
        <f>'Lote 3'!F7</f>
        <v>1450</v>
      </c>
      <c r="G37" s="15">
        <f>'Lote 3'!G7</f>
        <v>1444</v>
      </c>
      <c r="H37" s="19">
        <f t="shared" si="39"/>
        <v>1458</v>
      </c>
      <c r="I37" s="8">
        <f>_xlfn.STDEV.S(C37:G37)</f>
        <v>11.224972160321824</v>
      </c>
      <c r="K37" s="1">
        <v>60</v>
      </c>
      <c r="L37" s="19">
        <f t="shared" si="41"/>
        <v>6.8119891008174384E-4</v>
      </c>
      <c r="M37" s="1">
        <f t="shared" si="35"/>
        <v>6.8027210884353737E-4</v>
      </c>
      <c r="N37" s="1">
        <f t="shared" si="36"/>
        <v>6.8587105624142656E-4</v>
      </c>
      <c r="O37" s="1">
        <f t="shared" ref="O37:O44" si="49">1/F37</f>
        <v>6.8965517241379305E-4</v>
      </c>
      <c r="P37" s="1">
        <f t="shared" si="38"/>
        <v>6.925207756232687E-4</v>
      </c>
      <c r="Q37" s="1">
        <f t="shared" si="42"/>
        <v>6.8590360464075388E-4</v>
      </c>
      <c r="R37" s="1"/>
      <c r="S37" s="1">
        <v>60</v>
      </c>
      <c r="T37" s="27">
        <f t="shared" si="43"/>
        <v>2.9632152588555751E-2</v>
      </c>
      <c r="U37" s="28">
        <f t="shared" si="44"/>
        <v>2.8231292517006661E-2</v>
      </c>
      <c r="V37" s="28">
        <f t="shared" si="45"/>
        <v>3.669410150891618E-2</v>
      </c>
      <c r="W37" s="28">
        <f t="shared" si="46"/>
        <v>4.2413793103448123E-2</v>
      </c>
      <c r="X37" s="33">
        <f t="shared" si="47"/>
        <v>4.6745152354570566E-2</v>
      </c>
      <c r="Y37" s="92">
        <f t="shared" si="48"/>
        <v>3.6743298414499456E-2</v>
      </c>
    </row>
    <row r="38" spans="1:25" x14ac:dyDescent="0.25">
      <c r="A38">
        <v>4</v>
      </c>
      <c r="B38" s="15">
        <v>80</v>
      </c>
      <c r="C38" s="19">
        <f>'Lote 3'!C8</f>
        <v>1429</v>
      </c>
      <c r="D38" s="1">
        <f>'Lote 3'!D8</f>
        <v>1448</v>
      </c>
      <c r="E38" s="1">
        <f>'Lote 3'!E8</f>
        <v>1449</v>
      </c>
      <c r="F38" s="1">
        <f>'Lote 3'!F8</f>
        <v>1454</v>
      </c>
      <c r="G38" s="15">
        <f>'Lote 3'!G8</f>
        <v>1445</v>
      </c>
      <c r="H38" s="19">
        <f t="shared" si="39"/>
        <v>1445</v>
      </c>
      <c r="I38" s="8">
        <f>_xlfn.STDEV.S(C38:G38)</f>
        <v>9.5131487952202232</v>
      </c>
      <c r="K38" s="1">
        <v>80</v>
      </c>
      <c r="L38" s="19">
        <f t="shared" si="41"/>
        <v>6.9979006298110562E-4</v>
      </c>
      <c r="M38" s="1">
        <f t="shared" si="35"/>
        <v>6.9060773480662981E-4</v>
      </c>
      <c r="N38" s="1">
        <f>1/E38</f>
        <v>6.9013112491373362E-4</v>
      </c>
      <c r="O38" s="1">
        <f t="shared" si="49"/>
        <v>6.8775790921595599E-4</v>
      </c>
      <c r="P38" s="1">
        <f t="shared" si="38"/>
        <v>6.9204152249134946E-4</v>
      </c>
      <c r="Q38" s="1">
        <f t="shared" si="42"/>
        <v>6.9206567088175483E-4</v>
      </c>
      <c r="R38" s="1"/>
      <c r="S38" s="1">
        <v>80</v>
      </c>
      <c r="T38" s="27">
        <f t="shared" si="43"/>
        <v>5.7732680195941077E-2</v>
      </c>
      <c r="U38" s="28">
        <f t="shared" si="44"/>
        <v>4.3853591160220882E-2</v>
      </c>
      <c r="V38" s="28">
        <f t="shared" si="45"/>
        <v>4.3133195307108303E-2</v>
      </c>
      <c r="W38" s="28">
        <f t="shared" si="46"/>
        <v>3.9546079779917413E-2</v>
      </c>
      <c r="X38" s="33">
        <f t="shared" si="47"/>
        <v>4.6020761245674634E-2</v>
      </c>
      <c r="Y38" s="92">
        <f t="shared" si="48"/>
        <v>4.6057261537772468E-2</v>
      </c>
    </row>
    <row r="39" spans="1:25" x14ac:dyDescent="0.25">
      <c r="A39">
        <v>5</v>
      </c>
      <c r="B39" s="15">
        <v>100</v>
      </c>
      <c r="C39" s="19">
        <f>'Lote 3'!C9</f>
        <v>1397</v>
      </c>
      <c r="D39" s="1">
        <f>'Lote 3'!D9</f>
        <v>1415</v>
      </c>
      <c r="E39" s="1">
        <f>'Lote 3'!E9</f>
        <v>1404</v>
      </c>
      <c r="F39" s="1">
        <f>'Lote 3'!F9</f>
        <v>1390</v>
      </c>
      <c r="G39" s="15">
        <f>'Lote 3'!G9</f>
        <v>1385</v>
      </c>
      <c r="H39" s="19">
        <f t="shared" si="39"/>
        <v>1398</v>
      </c>
      <c r="I39" s="8">
        <f t="shared" ref="I39:I41" si="50">_xlfn.STDEV.S(C39:G39)</f>
        <v>11.819475453673906</v>
      </c>
      <c r="K39" s="1">
        <v>100</v>
      </c>
      <c r="L39" s="19">
        <f t="shared" si="41"/>
        <v>7.158196134574087E-4</v>
      </c>
      <c r="M39" s="1">
        <f t="shared" si="35"/>
        <v>7.0671378091872788E-4</v>
      </c>
      <c r="N39" s="1">
        <f t="shared" ref="N39:N44" si="51">1/E39</f>
        <v>7.1225071225071229E-4</v>
      </c>
      <c r="O39" s="1">
        <f t="shared" si="49"/>
        <v>7.1942446043165469E-4</v>
      </c>
      <c r="P39" s="1">
        <f t="shared" si="38"/>
        <v>7.2202166064981946E-4</v>
      </c>
      <c r="Q39" s="1">
        <f t="shared" si="42"/>
        <v>7.1524604554166452E-4</v>
      </c>
      <c r="R39" s="1"/>
      <c r="S39" s="1">
        <v>100</v>
      </c>
      <c r="T39" s="27">
        <f t="shared" si="43"/>
        <v>8.1961345740873187E-2</v>
      </c>
      <c r="U39" s="28">
        <f t="shared" si="44"/>
        <v>6.8197879858657121E-2</v>
      </c>
      <c r="V39" s="28">
        <f t="shared" si="45"/>
        <v>7.6566951566951549E-2</v>
      </c>
      <c r="W39" s="28">
        <f t="shared" si="46"/>
        <v>8.7410071942445988E-2</v>
      </c>
      <c r="X39" s="33">
        <f t="shared" si="47"/>
        <v>9.1335740072202035E-2</v>
      </c>
      <c r="Y39" s="92">
        <f t="shared" si="48"/>
        <v>8.1094397836225976E-2</v>
      </c>
    </row>
    <row r="40" spans="1:25" x14ac:dyDescent="0.25">
      <c r="A40">
        <v>6</v>
      </c>
      <c r="B40" s="15">
        <v>120</v>
      </c>
      <c r="C40" s="19">
        <f>'Lote 3'!C10</f>
        <v>1388</v>
      </c>
      <c r="D40" s="1">
        <f>'Lote 3'!D10</f>
        <v>1396</v>
      </c>
      <c r="E40" s="1">
        <f>'Lote 3'!E10</f>
        <v>1376</v>
      </c>
      <c r="F40" s="1">
        <f>'Lote 3'!F10</f>
        <v>1366</v>
      </c>
      <c r="G40" s="15">
        <f>'Lote 3'!G10</f>
        <v>1392</v>
      </c>
      <c r="H40" s="19">
        <f t="shared" si="39"/>
        <v>1384</v>
      </c>
      <c r="I40" s="8">
        <f t="shared" si="50"/>
        <v>12.361229712289955</v>
      </c>
      <c r="K40" s="1">
        <v>120</v>
      </c>
      <c r="L40" s="19">
        <f t="shared" si="41"/>
        <v>7.2046109510086451E-4</v>
      </c>
      <c r="M40" s="1">
        <f t="shared" si="35"/>
        <v>7.1633237822349568E-4</v>
      </c>
      <c r="N40" s="1">
        <f t="shared" si="51"/>
        <v>7.2674418604651162E-4</v>
      </c>
      <c r="O40" s="1">
        <f t="shared" si="49"/>
        <v>7.320644216691069E-4</v>
      </c>
      <c r="P40" s="1">
        <f t="shared" si="38"/>
        <v>7.1839080459770114E-4</v>
      </c>
      <c r="Q40" s="1">
        <f t="shared" si="42"/>
        <v>7.2279857712753595E-4</v>
      </c>
      <c r="R40" s="1"/>
      <c r="S40" s="1">
        <v>120</v>
      </c>
      <c r="T40" s="27">
        <f t="shared" si="43"/>
        <v>8.8976945244956626E-2</v>
      </c>
      <c r="U40" s="28">
        <f t="shared" si="44"/>
        <v>8.2736389684813644E-2</v>
      </c>
      <c r="V40" s="28">
        <f t="shared" si="45"/>
        <v>9.8473837209302237E-2</v>
      </c>
      <c r="W40" s="28">
        <f t="shared" si="46"/>
        <v>0.10651537335285501</v>
      </c>
      <c r="X40" s="33">
        <f t="shared" si="47"/>
        <v>8.5847701149425193E-2</v>
      </c>
      <c r="Y40" s="92">
        <f t="shared" si="48"/>
        <v>9.2510049328270533E-2</v>
      </c>
    </row>
    <row r="41" spans="1:25" x14ac:dyDescent="0.25">
      <c r="A41">
        <v>7</v>
      </c>
      <c r="B41" s="15">
        <v>140</v>
      </c>
      <c r="C41" s="19">
        <f>'Lote 3'!C11</f>
        <v>1375</v>
      </c>
      <c r="D41" s="1">
        <f>'Lote 3'!D11</f>
        <v>1383</v>
      </c>
      <c r="E41" s="1">
        <f>'Lote 3'!E11</f>
        <v>1363</v>
      </c>
      <c r="F41" s="1">
        <f>'Lote 3'!F11</f>
        <v>1359</v>
      </c>
      <c r="G41" s="15">
        <f>'Lote 3'!G11</f>
        <v>1350</v>
      </c>
      <c r="H41" s="19">
        <f t="shared" si="39"/>
        <v>1366</v>
      </c>
      <c r="I41" s="8">
        <f t="shared" si="50"/>
        <v>13.076696830622021</v>
      </c>
      <c r="K41" s="1">
        <v>140</v>
      </c>
      <c r="L41" s="19">
        <f t="shared" si="41"/>
        <v>7.2727272727272723E-4</v>
      </c>
      <c r="M41" s="1">
        <f t="shared" si="35"/>
        <v>7.2306579898770787E-4</v>
      </c>
      <c r="N41" s="1">
        <f t="shared" si="51"/>
        <v>7.3367571533382249E-4</v>
      </c>
      <c r="O41" s="1">
        <f t="shared" si="49"/>
        <v>7.3583517292126564E-4</v>
      </c>
      <c r="P41" s="1">
        <f t="shared" si="38"/>
        <v>7.407407407407407E-4</v>
      </c>
      <c r="Q41" s="1">
        <f t="shared" si="42"/>
        <v>7.3211803105125285E-4</v>
      </c>
      <c r="S41" s="1">
        <v>140</v>
      </c>
      <c r="T41" s="27">
        <f t="shared" si="43"/>
        <v>9.9272727272727138E-2</v>
      </c>
      <c r="U41" s="28">
        <f t="shared" si="44"/>
        <v>9.2913955169920362E-2</v>
      </c>
      <c r="V41" s="28">
        <f t="shared" si="45"/>
        <v>0.10895084372707262</v>
      </c>
      <c r="W41" s="28">
        <f t="shared" si="46"/>
        <v>0.11221486387049294</v>
      </c>
      <c r="X41" s="33">
        <f t="shared" si="47"/>
        <v>0.1196296296296295</v>
      </c>
      <c r="Y41" s="92">
        <f t="shared" si="48"/>
        <v>0.10659640393396852</v>
      </c>
    </row>
    <row r="42" spans="1:25" x14ac:dyDescent="0.25">
      <c r="A42">
        <v>8</v>
      </c>
      <c r="B42" s="15">
        <v>160</v>
      </c>
      <c r="C42" s="19">
        <f>'Lote 3'!C12</f>
        <v>1346</v>
      </c>
      <c r="D42" s="1">
        <f>'Lote 3'!D12</f>
        <v>1332</v>
      </c>
      <c r="E42" s="1">
        <f>'Lote 3'!E12</f>
        <v>1350</v>
      </c>
      <c r="F42" s="1">
        <f>'Lote 3'!F12</f>
        <v>1351</v>
      </c>
      <c r="G42" s="15">
        <f>'Lote 3'!G12</f>
        <v>1356</v>
      </c>
      <c r="H42" s="19">
        <f t="shared" si="39"/>
        <v>1347</v>
      </c>
      <c r="I42" s="8">
        <f>_xlfn.STDEV.S(C42:G42)</f>
        <v>9.1104335791442992</v>
      </c>
      <c r="K42" s="1">
        <v>160</v>
      </c>
      <c r="L42" s="19">
        <f t="shared" si="41"/>
        <v>7.429420505200594E-4</v>
      </c>
      <c r="M42" s="1">
        <f t="shared" si="35"/>
        <v>7.5075075075075074E-4</v>
      </c>
      <c r="N42" s="1">
        <f t="shared" si="51"/>
        <v>7.407407407407407E-4</v>
      </c>
      <c r="O42" s="1">
        <f t="shared" si="49"/>
        <v>7.4019245003700959E-4</v>
      </c>
      <c r="P42" s="1">
        <f t="shared" si="38"/>
        <v>7.3746312684365781E-4</v>
      </c>
      <c r="Q42" s="1">
        <f t="shared" si="42"/>
        <v>7.4241782377844367E-4</v>
      </c>
      <c r="S42" s="1">
        <v>160</v>
      </c>
      <c r="T42" s="27">
        <f t="shared" si="43"/>
        <v>0.12295690936106971</v>
      </c>
      <c r="U42" s="28">
        <f t="shared" si="44"/>
        <v>0.13475975975975968</v>
      </c>
      <c r="V42" s="28">
        <f t="shared" si="45"/>
        <v>0.1196296296296295</v>
      </c>
      <c r="W42" s="28">
        <f t="shared" si="46"/>
        <v>0.11880088823093991</v>
      </c>
      <c r="X42" s="33">
        <f t="shared" si="47"/>
        <v>0.1146755162241887</v>
      </c>
      <c r="Y42" s="92">
        <f t="shared" si="48"/>
        <v>0.12216454064111751</v>
      </c>
    </row>
    <row r="43" spans="1:25" x14ac:dyDescent="0.25">
      <c r="A43">
        <v>9</v>
      </c>
      <c r="B43" s="15">
        <v>180</v>
      </c>
      <c r="C43" s="19">
        <f>'Lote 3'!C13</f>
        <v>1336</v>
      </c>
      <c r="D43" s="1">
        <f>'Lote 3'!D13</f>
        <v>1303</v>
      </c>
      <c r="E43" s="1">
        <f>'Lote 3'!E13</f>
        <v>1324</v>
      </c>
      <c r="F43" s="1">
        <f>'Lote 3'!F13</f>
        <v>1342</v>
      </c>
      <c r="G43" s="15">
        <f>'Lote 3'!G13</f>
        <v>1317</v>
      </c>
      <c r="H43" s="19">
        <f t="shared" si="39"/>
        <v>1324</v>
      </c>
      <c r="I43" s="8">
        <f>_xlfn.STDEV.S(C42:G42)</f>
        <v>9.1104335791442992</v>
      </c>
      <c r="K43" s="1">
        <v>180</v>
      </c>
      <c r="L43" s="19">
        <f t="shared" si="41"/>
        <v>7.4850299401197609E-4</v>
      </c>
      <c r="M43" s="1">
        <f t="shared" si="35"/>
        <v>7.6745970836531081E-4</v>
      </c>
      <c r="N43" s="1">
        <f t="shared" si="51"/>
        <v>7.5528700906344411E-4</v>
      </c>
      <c r="O43" s="1">
        <f t="shared" si="49"/>
        <v>7.4515648286140089E-4</v>
      </c>
      <c r="P43" s="1">
        <f t="shared" si="38"/>
        <v>7.5930144267274111E-4</v>
      </c>
      <c r="Q43" s="1">
        <f t="shared" si="42"/>
        <v>7.5514152739497467E-4</v>
      </c>
      <c r="S43" s="1">
        <v>180</v>
      </c>
      <c r="T43" s="27">
        <f t="shared" si="43"/>
        <v>0.13136227544910178</v>
      </c>
      <c r="U43" s="28">
        <f t="shared" si="44"/>
        <v>0.16001534919416721</v>
      </c>
      <c r="V43" s="28">
        <f t="shared" si="45"/>
        <v>0.14161631419939569</v>
      </c>
      <c r="W43" s="28">
        <f t="shared" si="46"/>
        <v>0.12630402384500738</v>
      </c>
      <c r="X43" s="33">
        <f t="shared" si="47"/>
        <v>0.14768413059984811</v>
      </c>
      <c r="Y43" s="31">
        <f t="shared" si="48"/>
        <v>0.14139641865750402</v>
      </c>
    </row>
    <row r="44" spans="1:25" x14ac:dyDescent="0.25">
      <c r="A44" s="10" t="s">
        <v>9</v>
      </c>
      <c r="B44" s="16">
        <v>210</v>
      </c>
      <c r="C44" s="20">
        <f>'Lote 3'!C14</f>
        <v>1322</v>
      </c>
      <c r="D44" s="11">
        <f>'Lote 3'!D14</f>
        <v>1325</v>
      </c>
      <c r="E44" s="11">
        <f>'Lote 3'!E14</f>
        <v>1344</v>
      </c>
      <c r="F44" s="11">
        <f>'Lote 3'!F14</f>
        <v>1329</v>
      </c>
      <c r="G44" s="16">
        <f>'Lote 3'!G14</f>
        <v>1331</v>
      </c>
      <c r="H44" s="20">
        <f t="shared" si="39"/>
        <v>1330</v>
      </c>
      <c r="I44" s="12">
        <f t="shared" ref="I44" si="52">_xlfn.STDEV.S(C44:G44)</f>
        <v>8.4675852520066197</v>
      </c>
      <c r="K44" s="11">
        <v>210</v>
      </c>
      <c r="L44" s="20">
        <f t="shared" si="41"/>
        <v>7.5642965204236008E-4</v>
      </c>
      <c r="M44" s="11">
        <f t="shared" si="35"/>
        <v>7.5471698113207543E-4</v>
      </c>
      <c r="N44" s="11">
        <f t="shared" si="51"/>
        <v>7.4404761904761901E-4</v>
      </c>
      <c r="O44" s="11">
        <f t="shared" si="49"/>
        <v>7.5244544770504136E-4</v>
      </c>
      <c r="P44" s="11">
        <f t="shared" si="38"/>
        <v>7.513148009015778E-4</v>
      </c>
      <c r="Q44" s="11">
        <f t="shared" si="42"/>
        <v>7.5179090016573471E-4</v>
      </c>
      <c r="S44" s="11">
        <v>210</v>
      </c>
      <c r="T44" s="95">
        <f t="shared" si="43"/>
        <v>0.14334341906202719</v>
      </c>
      <c r="U44" s="96">
        <f t="shared" si="44"/>
        <v>0.14075471698113196</v>
      </c>
      <c r="V44" s="96">
        <f t="shared" si="45"/>
        <v>0.12462797619047605</v>
      </c>
      <c r="W44" s="96">
        <f t="shared" si="46"/>
        <v>0.13732129420616992</v>
      </c>
      <c r="X44" s="97">
        <f t="shared" si="47"/>
        <v>0.13561232156273478</v>
      </c>
      <c r="Y44" s="31">
        <f t="shared" si="48"/>
        <v>0.13633194560050796</v>
      </c>
    </row>
    <row r="46" spans="1:25" x14ac:dyDescent="0.25">
      <c r="A46" s="140" t="s">
        <v>18</v>
      </c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</row>
    <row r="47" spans="1:25" x14ac:dyDescent="0.25">
      <c r="A47" s="141" t="s">
        <v>11</v>
      </c>
      <c r="B47" s="141"/>
      <c r="C47" s="141"/>
      <c r="D47" s="141"/>
      <c r="E47" s="141"/>
      <c r="F47" s="141"/>
      <c r="G47" s="141"/>
      <c r="H47" s="141"/>
      <c r="I47" s="141"/>
      <c r="J47" s="132"/>
      <c r="K47" s="139" t="s">
        <v>12</v>
      </c>
      <c r="L47" s="139"/>
      <c r="M47" s="139"/>
      <c r="N47" s="139"/>
      <c r="O47" s="139"/>
      <c r="P47" s="139"/>
      <c r="Q47" s="139"/>
      <c r="R47" s="132"/>
      <c r="S47" s="139" t="s">
        <v>13</v>
      </c>
      <c r="T47" s="139"/>
      <c r="U47" s="139"/>
      <c r="V47" s="139"/>
      <c r="W47" s="139"/>
      <c r="X47" s="139"/>
      <c r="Y47" s="139"/>
    </row>
    <row r="48" spans="1:25" x14ac:dyDescent="0.25">
      <c r="A48" s="3" t="s">
        <v>0</v>
      </c>
      <c r="B48" s="13" t="s">
        <v>14</v>
      </c>
      <c r="C48" s="131">
        <v>1</v>
      </c>
      <c r="D48" s="131">
        <v>2</v>
      </c>
      <c r="E48" s="131">
        <v>3</v>
      </c>
      <c r="F48" s="131">
        <v>4</v>
      </c>
      <c r="G48" s="131">
        <v>5</v>
      </c>
      <c r="H48" s="21" t="s">
        <v>3</v>
      </c>
      <c r="I48" s="4" t="s">
        <v>4</v>
      </c>
      <c r="K48" s="13" t="s">
        <v>14</v>
      </c>
      <c r="L48" s="131">
        <v>1</v>
      </c>
      <c r="M48" s="131">
        <v>2</v>
      </c>
      <c r="N48" s="131">
        <v>3</v>
      </c>
      <c r="O48" s="131">
        <v>4</v>
      </c>
      <c r="P48" s="131">
        <v>5</v>
      </c>
      <c r="Q48" s="17" t="s">
        <v>3</v>
      </c>
      <c r="R48" s="1"/>
      <c r="S48" s="3" t="s">
        <v>14</v>
      </c>
      <c r="T48" s="29">
        <v>1</v>
      </c>
      <c r="U48" s="131">
        <v>2</v>
      </c>
      <c r="V48" s="131">
        <v>3</v>
      </c>
      <c r="W48" s="131">
        <v>4</v>
      </c>
      <c r="X48" s="131">
        <v>5</v>
      </c>
      <c r="Y48" s="21" t="s">
        <v>3</v>
      </c>
    </row>
    <row r="49" spans="1:25" x14ac:dyDescent="0.25">
      <c r="A49" s="5" t="s">
        <v>15</v>
      </c>
      <c r="B49" s="6">
        <v>0</v>
      </c>
      <c r="C49" s="18">
        <f>'Lote 4'!C4</f>
        <v>1514</v>
      </c>
      <c r="D49" s="6">
        <f>'Lote 4'!D4</f>
        <v>1488</v>
      </c>
      <c r="E49" s="6">
        <f>'Lote 4'!E4</f>
        <v>1499</v>
      </c>
      <c r="F49" s="6">
        <f>'Lote 4'!F4</f>
        <v>1501</v>
      </c>
      <c r="G49" s="14">
        <f>'Lote 4'!G4</f>
        <v>1512</v>
      </c>
      <c r="H49" s="6">
        <f>ROUND(AVERAGE(C49:G49),0)</f>
        <v>1503</v>
      </c>
      <c r="I49" s="7">
        <f>_xlfn.STDEV.S(C49:G49)</f>
        <v>10.56882207249228</v>
      </c>
      <c r="K49" s="6">
        <v>0</v>
      </c>
      <c r="L49" s="18">
        <f>1/C49</f>
        <v>6.6050198150594452E-4</v>
      </c>
      <c r="M49" s="6">
        <f t="shared" ref="M49:M59" si="53">1/D49</f>
        <v>6.7204301075268823E-4</v>
      </c>
      <c r="N49" s="6">
        <f t="shared" ref="N49:N52" si="54">1/E49</f>
        <v>6.6711140760506999E-4</v>
      </c>
      <c r="O49" s="6">
        <f t="shared" ref="O49:O50" si="55">1/F49</f>
        <v>6.6622251832111927E-4</v>
      </c>
      <c r="P49" s="6">
        <f t="shared" ref="P49:P59" si="56">1/G49</f>
        <v>6.6137566137566134E-4</v>
      </c>
      <c r="Q49" s="6">
        <f>AVERAGE(L49:P49)</f>
        <v>6.6545091591209665E-4</v>
      </c>
      <c r="R49" s="1"/>
      <c r="S49" s="6">
        <v>0</v>
      </c>
      <c r="T49" s="18">
        <v>0</v>
      </c>
      <c r="U49" s="6">
        <v>0</v>
      </c>
      <c r="V49" s="6">
        <v>0</v>
      </c>
      <c r="W49" s="6">
        <v>0</v>
      </c>
      <c r="X49" s="6">
        <v>0</v>
      </c>
      <c r="Y49" s="82">
        <v>0</v>
      </c>
    </row>
    <row r="50" spans="1:25" x14ac:dyDescent="0.25">
      <c r="A50">
        <v>1</v>
      </c>
      <c r="B50" s="1">
        <v>20</v>
      </c>
      <c r="C50" s="19">
        <f>'Lote 4'!C5</f>
        <v>1475</v>
      </c>
      <c r="D50" s="1">
        <f>'Lote 4'!D5</f>
        <v>1488</v>
      </c>
      <c r="E50" s="1">
        <f>'Lote 4'!E5</f>
        <v>1491</v>
      </c>
      <c r="F50" s="1">
        <f>'Lote 4'!F5</f>
        <v>1504</v>
      </c>
      <c r="G50" s="15">
        <f>'Lote 4'!G5</f>
        <v>1529</v>
      </c>
      <c r="H50" s="1">
        <f t="shared" ref="H50:H59" si="57">ROUND(AVERAGE(C50:G50),0)</f>
        <v>1497</v>
      </c>
      <c r="I50" s="8">
        <f t="shared" ref="I50:I51" si="58">_xlfn.STDEV.S(C50:G50)</f>
        <v>20.452383724153037</v>
      </c>
      <c r="K50" s="1">
        <v>20</v>
      </c>
      <c r="L50" s="19">
        <f t="shared" ref="L50:L59" si="59">1/C50</f>
        <v>6.779661016949153E-4</v>
      </c>
      <c r="M50" s="1">
        <f t="shared" si="53"/>
        <v>6.7204301075268823E-4</v>
      </c>
      <c r="N50" s="1">
        <f t="shared" si="54"/>
        <v>6.7069081153588194E-4</v>
      </c>
      <c r="O50" s="1">
        <f t="shared" si="55"/>
        <v>6.6489361702127658E-4</v>
      </c>
      <c r="P50" s="1">
        <f t="shared" si="56"/>
        <v>6.5402223675604975E-4</v>
      </c>
      <c r="Q50" s="1">
        <f t="shared" ref="Q50:Q59" si="60">AVERAGE(L50:P50)</f>
        <v>6.6792315555216236E-4</v>
      </c>
      <c r="R50" s="1"/>
      <c r="S50" s="1">
        <v>20</v>
      </c>
      <c r="T50" s="93">
        <f t="shared" ref="T50:T59" si="61">(L50-$M$61)/$M$61</f>
        <v>2.4745762711864405E-2</v>
      </c>
      <c r="U50" s="94">
        <f t="shared" ref="U50:U59" si="62">(M50-$M$61)/$M$61</f>
        <v>1.5793010752688186E-2</v>
      </c>
      <c r="V50" s="94">
        <f t="shared" ref="V50:V59" si="63">(N50-$M$61)/$M$61</f>
        <v>1.3749161636485487E-2</v>
      </c>
      <c r="W50" s="94">
        <f t="shared" ref="W50:W59" si="64">(O50-$M$61)/$M$61</f>
        <v>4.9867021276594819E-3</v>
      </c>
      <c r="X50" s="32">
        <f t="shared" ref="X50:X59" si="65">(P50-$M$61)/$M$61</f>
        <v>-1.144538914323087E-2</v>
      </c>
      <c r="Y50" s="92">
        <f>AVERAGE(T50:X50)</f>
        <v>9.5658496170933378E-3</v>
      </c>
    </row>
    <row r="51" spans="1:25" x14ac:dyDescent="0.25">
      <c r="A51">
        <v>2</v>
      </c>
      <c r="B51" s="1">
        <v>40</v>
      </c>
      <c r="C51" s="19">
        <f>'Lote 4'!C6</f>
        <v>1485</v>
      </c>
      <c r="D51" s="1">
        <f>'Lote 4'!D6</f>
        <v>1491</v>
      </c>
      <c r="E51" s="1">
        <f>'Lote 4'!E6</f>
        <v>1500</v>
      </c>
      <c r="F51" s="1">
        <f>'Lote 4'!F6</f>
        <v>1485</v>
      </c>
      <c r="G51" s="15">
        <f>'Lote 4'!G6</f>
        <v>1485</v>
      </c>
      <c r="H51" s="1">
        <f t="shared" si="57"/>
        <v>1489</v>
      </c>
      <c r="I51" s="8">
        <f t="shared" si="58"/>
        <v>6.5726706900619938</v>
      </c>
      <c r="K51" s="1">
        <v>40</v>
      </c>
      <c r="L51" s="19">
        <f t="shared" si="59"/>
        <v>6.7340067340067344E-4</v>
      </c>
      <c r="M51" s="1">
        <f t="shared" si="53"/>
        <v>6.7069081153588194E-4</v>
      </c>
      <c r="N51" s="1">
        <f t="shared" si="54"/>
        <v>6.6666666666666664E-4</v>
      </c>
      <c r="O51" s="1">
        <f>1/F51</f>
        <v>6.7340067340067344E-4</v>
      </c>
      <c r="P51" s="1">
        <f t="shared" si="56"/>
        <v>6.7340067340067344E-4</v>
      </c>
      <c r="Q51" s="1">
        <f t="shared" si="60"/>
        <v>6.7151189968091382E-4</v>
      </c>
      <c r="R51" s="1"/>
      <c r="S51" s="1">
        <v>40</v>
      </c>
      <c r="T51" s="27">
        <f t="shared" si="61"/>
        <v>1.7845117845117831E-2</v>
      </c>
      <c r="U51" s="28">
        <f t="shared" si="62"/>
        <v>1.3749161636485487E-2</v>
      </c>
      <c r="V51" s="28">
        <f t="shared" si="63"/>
        <v>7.6666666666665648E-3</v>
      </c>
      <c r="W51" s="28">
        <f t="shared" si="64"/>
        <v>1.7845117845117831E-2</v>
      </c>
      <c r="X51" s="33">
        <f t="shared" si="65"/>
        <v>1.7845117845117831E-2</v>
      </c>
      <c r="Y51" s="92">
        <f t="shared" ref="Y51:Y59" si="66">AVERAGE(T51:X51)</f>
        <v>1.499023636770111E-2</v>
      </c>
    </row>
    <row r="52" spans="1:25" x14ac:dyDescent="0.25">
      <c r="A52">
        <v>3</v>
      </c>
      <c r="B52" s="1">
        <v>60</v>
      </c>
      <c r="C52" s="19">
        <f>'Lote 4'!C7</f>
        <v>1452</v>
      </c>
      <c r="D52" s="1">
        <f>'Lote 4'!D7</f>
        <v>1464</v>
      </c>
      <c r="E52" s="1">
        <f>'Lote 4'!E7</f>
        <v>1453</v>
      </c>
      <c r="F52" s="1">
        <f>'Lote 4'!F7</f>
        <v>1471</v>
      </c>
      <c r="G52" s="15">
        <f>'Lote 4'!G7</f>
        <v>1471</v>
      </c>
      <c r="H52" s="1">
        <f t="shared" si="57"/>
        <v>1462</v>
      </c>
      <c r="I52" s="8">
        <f>_xlfn.STDEV.S(C52:G52)</f>
        <v>9.3112834775878248</v>
      </c>
      <c r="K52" s="1">
        <v>60</v>
      </c>
      <c r="L52" s="19">
        <f t="shared" si="59"/>
        <v>6.8870523415977963E-4</v>
      </c>
      <c r="M52" s="1">
        <f t="shared" si="53"/>
        <v>6.8306010928961749E-4</v>
      </c>
      <c r="N52" s="1">
        <f t="shared" si="54"/>
        <v>6.8823124569855469E-4</v>
      </c>
      <c r="O52" s="1">
        <f t="shared" ref="O52:O59" si="67">1/F52</f>
        <v>6.7980965329707678E-4</v>
      </c>
      <c r="P52" s="1">
        <f t="shared" si="56"/>
        <v>6.7980965329707678E-4</v>
      </c>
      <c r="Q52" s="1">
        <f t="shared" si="60"/>
        <v>6.8392317914842105E-4</v>
      </c>
      <c r="R52" s="1"/>
      <c r="S52" s="1">
        <v>60</v>
      </c>
      <c r="T52" s="27">
        <f t="shared" si="61"/>
        <v>4.0977961432506843E-2</v>
      </c>
      <c r="U52" s="28">
        <f t="shared" si="62"/>
        <v>3.2445355191256763E-2</v>
      </c>
      <c r="V52" s="28">
        <f t="shared" si="63"/>
        <v>4.0261527873365337E-2</v>
      </c>
      <c r="W52" s="28">
        <f t="shared" si="64"/>
        <v>2.7532290958531481E-2</v>
      </c>
      <c r="X52" s="33">
        <f t="shared" si="65"/>
        <v>2.7532290958531481E-2</v>
      </c>
      <c r="Y52" s="92">
        <f t="shared" si="66"/>
        <v>3.3749885282838385E-2</v>
      </c>
    </row>
    <row r="53" spans="1:25" x14ac:dyDescent="0.25">
      <c r="A53">
        <v>4</v>
      </c>
      <c r="B53" s="1">
        <v>80</v>
      </c>
      <c r="C53" s="19">
        <f>'Lote 4'!C8</f>
        <v>1430</v>
      </c>
      <c r="D53" s="1">
        <f>'Lote 4'!D8</f>
        <v>1445</v>
      </c>
      <c r="E53" s="1">
        <f>'Lote 4'!E8</f>
        <v>1454</v>
      </c>
      <c r="F53" s="1">
        <f>'Lote 4'!F8</f>
        <v>1464</v>
      </c>
      <c r="G53" s="15">
        <f>'Lote 4'!G8</f>
        <v>1465</v>
      </c>
      <c r="H53" s="1">
        <f t="shared" si="57"/>
        <v>1452</v>
      </c>
      <c r="I53" s="8">
        <f>_xlfn.STDEV.S(C53:G53)</f>
        <v>14.570518178843194</v>
      </c>
      <c r="K53" s="1">
        <v>80</v>
      </c>
      <c r="L53" s="19">
        <f t="shared" si="59"/>
        <v>6.993006993006993E-4</v>
      </c>
      <c r="M53" s="1">
        <f t="shared" si="53"/>
        <v>6.9204152249134946E-4</v>
      </c>
      <c r="N53" s="1">
        <f>1/E53</f>
        <v>6.8775790921595599E-4</v>
      </c>
      <c r="O53" s="1">
        <f t="shared" si="67"/>
        <v>6.8306010928961749E-4</v>
      </c>
      <c r="P53" s="1">
        <f t="shared" si="56"/>
        <v>6.8259385665529011E-4</v>
      </c>
      <c r="Q53" s="1">
        <f t="shared" si="60"/>
        <v>6.8895081939058243E-4</v>
      </c>
      <c r="R53" s="1"/>
      <c r="S53" s="1">
        <v>80</v>
      </c>
      <c r="T53" s="27">
        <f t="shared" si="61"/>
        <v>5.6993006993006919E-2</v>
      </c>
      <c r="U53" s="28">
        <f t="shared" si="62"/>
        <v>4.6020761245674634E-2</v>
      </c>
      <c r="V53" s="28">
        <f t="shared" si="63"/>
        <v>3.9546079779917413E-2</v>
      </c>
      <c r="W53" s="28">
        <f t="shared" si="64"/>
        <v>3.2445355191256763E-2</v>
      </c>
      <c r="X53" s="33">
        <f t="shared" si="65"/>
        <v>3.174061433447093E-2</v>
      </c>
      <c r="Y53" s="92">
        <f t="shared" si="66"/>
        <v>4.1349163508865333E-2</v>
      </c>
    </row>
    <row r="54" spans="1:25" x14ac:dyDescent="0.25">
      <c r="A54">
        <v>5</v>
      </c>
      <c r="B54" s="1">
        <v>100</v>
      </c>
      <c r="C54" s="19">
        <f>'Lote 4'!C9</f>
        <v>1418</v>
      </c>
      <c r="D54" s="1">
        <f>'Lote 4'!D9</f>
        <v>1440</v>
      </c>
      <c r="E54" s="1">
        <f>'Lote 4'!E9</f>
        <v>1423</v>
      </c>
      <c r="F54" s="1">
        <f>'Lote 4'!F9</f>
        <v>1413</v>
      </c>
      <c r="G54" s="15">
        <f>'Lote 4'!G9</f>
        <v>1412</v>
      </c>
      <c r="H54" s="1">
        <f t="shared" si="57"/>
        <v>1421</v>
      </c>
      <c r="I54" s="8">
        <f t="shared" ref="I54:I56" si="68">_xlfn.STDEV.S(C54:G54)</f>
        <v>11.388590782006348</v>
      </c>
      <c r="K54" s="1">
        <v>100</v>
      </c>
      <c r="L54" s="19">
        <f t="shared" si="59"/>
        <v>7.0521861777150916E-4</v>
      </c>
      <c r="M54" s="1">
        <f t="shared" si="53"/>
        <v>6.9444444444444447E-4</v>
      </c>
      <c r="N54" s="1">
        <f t="shared" ref="N54:N59" si="69">1/E54</f>
        <v>7.0274068868587491E-4</v>
      </c>
      <c r="O54" s="1">
        <f t="shared" si="67"/>
        <v>7.0771408351026188E-4</v>
      </c>
      <c r="P54" s="1">
        <f t="shared" si="56"/>
        <v>7.0821529745042496E-4</v>
      </c>
      <c r="Q54" s="1">
        <f t="shared" si="60"/>
        <v>7.0366662637250305E-4</v>
      </c>
      <c r="R54" s="1"/>
      <c r="S54" s="1">
        <v>100</v>
      </c>
      <c r="T54" s="27">
        <f t="shared" si="61"/>
        <v>6.5937940761636019E-2</v>
      </c>
      <c r="U54" s="28">
        <f t="shared" si="62"/>
        <v>4.9652777777777747E-2</v>
      </c>
      <c r="V54" s="28">
        <f t="shared" si="63"/>
        <v>6.2192550948699861E-2</v>
      </c>
      <c r="W54" s="28">
        <f t="shared" si="64"/>
        <v>6.9709837225760754E-2</v>
      </c>
      <c r="X54" s="33">
        <f t="shared" si="65"/>
        <v>7.0467422096317262E-2</v>
      </c>
      <c r="Y54" s="92">
        <f t="shared" si="66"/>
        <v>6.3592105762038331E-2</v>
      </c>
    </row>
    <row r="55" spans="1:25" x14ac:dyDescent="0.25">
      <c r="A55">
        <v>6</v>
      </c>
      <c r="B55" s="1">
        <v>120</v>
      </c>
      <c r="C55" s="19">
        <f>'Lote 4'!C10</f>
        <v>1396</v>
      </c>
      <c r="D55" s="1">
        <f>'Lote 4'!D10</f>
        <v>1402</v>
      </c>
      <c r="E55" s="1">
        <f>'Lote 4'!E10</f>
        <v>1390</v>
      </c>
      <c r="F55" s="1">
        <f>'Lote 4'!F10</f>
        <v>1393</v>
      </c>
      <c r="G55" s="15">
        <f>'Lote 4'!G10</f>
        <v>1394</v>
      </c>
      <c r="H55" s="1">
        <f t="shared" si="57"/>
        <v>1395</v>
      </c>
      <c r="I55" s="8">
        <f t="shared" si="68"/>
        <v>4.4721359549995796</v>
      </c>
      <c r="K55" s="1">
        <v>120</v>
      </c>
      <c r="L55" s="19">
        <f t="shared" si="59"/>
        <v>7.1633237822349568E-4</v>
      </c>
      <c r="M55" s="1">
        <f t="shared" si="53"/>
        <v>7.1326676176890159E-4</v>
      </c>
      <c r="N55" s="1">
        <f t="shared" si="69"/>
        <v>7.1942446043165469E-4</v>
      </c>
      <c r="O55" s="1">
        <f t="shared" si="67"/>
        <v>7.1787508973438624E-4</v>
      </c>
      <c r="P55" s="1">
        <f t="shared" si="56"/>
        <v>7.173601147776184E-4</v>
      </c>
      <c r="Q55" s="1">
        <f t="shared" si="60"/>
        <v>7.1685176098721141E-4</v>
      </c>
      <c r="R55" s="1"/>
      <c r="S55" s="1">
        <v>120</v>
      </c>
      <c r="T55" s="27">
        <f t="shared" si="61"/>
        <v>8.2736389684813644E-2</v>
      </c>
      <c r="U55" s="28">
        <f t="shared" si="62"/>
        <v>7.8102710413694681E-2</v>
      </c>
      <c r="V55" s="28">
        <f t="shared" si="63"/>
        <v>8.7410071942445988E-2</v>
      </c>
      <c r="W55" s="28">
        <f t="shared" si="64"/>
        <v>8.5068198133524731E-2</v>
      </c>
      <c r="X55" s="33">
        <f t="shared" si="65"/>
        <v>8.4289813486370144E-2</v>
      </c>
      <c r="Y55" s="92">
        <f t="shared" si="66"/>
        <v>8.3521436732169843E-2</v>
      </c>
    </row>
    <row r="56" spans="1:25" x14ac:dyDescent="0.25">
      <c r="A56">
        <v>7</v>
      </c>
      <c r="B56" s="1">
        <v>140</v>
      </c>
      <c r="C56" s="19">
        <f>'Lote 4'!C11</f>
        <v>1386</v>
      </c>
      <c r="D56" s="1">
        <f>'Lote 4'!D11</f>
        <v>1388</v>
      </c>
      <c r="E56" s="1">
        <f>'Lote 4'!E11</f>
        <v>1398</v>
      </c>
      <c r="F56" s="1">
        <f>'Lote 4'!F11</f>
        <v>1369</v>
      </c>
      <c r="G56" s="15">
        <f>'Lote 4'!G11</f>
        <v>1372</v>
      </c>
      <c r="H56" s="1">
        <f t="shared" si="57"/>
        <v>1383</v>
      </c>
      <c r="I56" s="8">
        <f t="shared" si="68"/>
        <v>11.991663771137015</v>
      </c>
      <c r="K56" s="1">
        <v>140</v>
      </c>
      <c r="L56" s="19">
        <f t="shared" si="59"/>
        <v>7.215007215007215E-4</v>
      </c>
      <c r="M56" s="1">
        <f t="shared" si="53"/>
        <v>7.2046109510086451E-4</v>
      </c>
      <c r="N56" s="1">
        <f t="shared" si="69"/>
        <v>7.1530758226037196E-4</v>
      </c>
      <c r="O56" s="1">
        <f t="shared" si="67"/>
        <v>7.3046018991964939E-4</v>
      </c>
      <c r="P56" s="1">
        <f t="shared" si="56"/>
        <v>7.2886297376093293E-4</v>
      </c>
      <c r="Q56" s="1">
        <f t="shared" si="60"/>
        <v>7.233185125085081E-4</v>
      </c>
      <c r="S56" s="1">
        <v>140</v>
      </c>
      <c r="T56" s="27">
        <f t="shared" si="61"/>
        <v>9.0548340548340475E-2</v>
      </c>
      <c r="U56" s="28">
        <f t="shared" si="62"/>
        <v>8.8976945244956626E-2</v>
      </c>
      <c r="V56" s="28">
        <f t="shared" si="63"/>
        <v>8.1187410586552142E-2</v>
      </c>
      <c r="W56" s="28">
        <f t="shared" si="64"/>
        <v>0.10409057706354999</v>
      </c>
      <c r="X56" s="33">
        <f t="shared" si="65"/>
        <v>0.10167638483965005</v>
      </c>
      <c r="Y56" s="92">
        <f t="shared" si="66"/>
        <v>9.3295931656609848E-2</v>
      </c>
    </row>
    <row r="57" spans="1:25" x14ac:dyDescent="0.25">
      <c r="A57">
        <v>8</v>
      </c>
      <c r="B57" s="1">
        <v>160</v>
      </c>
      <c r="C57" s="19">
        <f>'Lote 4'!C12</f>
        <v>1345</v>
      </c>
      <c r="D57" s="1">
        <f>'Lote 4'!D12</f>
        <v>1368</v>
      </c>
      <c r="E57" s="1">
        <f>'Lote 4'!E12</f>
        <v>1334</v>
      </c>
      <c r="F57" s="1">
        <f>'Lote 4'!F12</f>
        <v>1363</v>
      </c>
      <c r="G57" s="15">
        <f>'Lote 4'!G12</f>
        <v>1371</v>
      </c>
      <c r="H57" s="1">
        <f t="shared" si="57"/>
        <v>1356</v>
      </c>
      <c r="I57" s="8">
        <f>_xlfn.STDEV.S(C57:G57)</f>
        <v>15.990622251807464</v>
      </c>
      <c r="K57" s="1">
        <v>160</v>
      </c>
      <c r="L57" s="19">
        <f t="shared" si="59"/>
        <v>7.4349442379182155E-4</v>
      </c>
      <c r="M57" s="1">
        <f t="shared" si="53"/>
        <v>7.3099415204678359E-4</v>
      </c>
      <c r="N57" s="1">
        <f t="shared" si="69"/>
        <v>7.4962518740629683E-4</v>
      </c>
      <c r="O57" s="1">
        <f t="shared" si="67"/>
        <v>7.3367571533382249E-4</v>
      </c>
      <c r="P57" s="1">
        <f t="shared" si="56"/>
        <v>7.2939460247994166E-4</v>
      </c>
      <c r="Q57" s="1">
        <f t="shared" si="60"/>
        <v>7.3743681621173324E-4</v>
      </c>
      <c r="S57" s="1">
        <v>160</v>
      </c>
      <c r="T57" s="27">
        <f t="shared" si="61"/>
        <v>0.12379182156133819</v>
      </c>
      <c r="U57" s="28">
        <f t="shared" si="62"/>
        <v>0.10489766081871331</v>
      </c>
      <c r="V57" s="28">
        <f t="shared" si="63"/>
        <v>0.13305847076461758</v>
      </c>
      <c r="W57" s="28">
        <f t="shared" si="64"/>
        <v>0.10895084372707262</v>
      </c>
      <c r="X57" s="33">
        <f t="shared" si="65"/>
        <v>0.10247994164843174</v>
      </c>
      <c r="Y57" s="92">
        <f t="shared" si="66"/>
        <v>0.11463574770403469</v>
      </c>
    </row>
    <row r="58" spans="1:25" x14ac:dyDescent="0.25">
      <c r="A58">
        <v>9</v>
      </c>
      <c r="B58" s="1">
        <v>180</v>
      </c>
      <c r="C58" s="19">
        <f>'Lote 4'!C13</f>
        <v>1328</v>
      </c>
      <c r="D58" s="1">
        <f>'Lote 4'!D13</f>
        <v>1327</v>
      </c>
      <c r="E58" s="1">
        <f>'Lote 4'!E13</f>
        <v>1335</v>
      </c>
      <c r="F58" s="1">
        <f>'Lote 4'!F13</f>
        <v>1337</v>
      </c>
      <c r="G58" s="15">
        <f>'Lote 4'!G13</f>
        <v>1344</v>
      </c>
      <c r="H58" s="1">
        <f t="shared" si="57"/>
        <v>1334</v>
      </c>
      <c r="I58" s="8">
        <f>_xlfn.STDEV.S(C57:G57)</f>
        <v>15.990622251807464</v>
      </c>
      <c r="K58" s="1">
        <v>180</v>
      </c>
      <c r="L58" s="19">
        <f t="shared" si="59"/>
        <v>7.5301204819277112E-4</v>
      </c>
      <c r="M58" s="1">
        <f t="shared" si="53"/>
        <v>7.5357950263752827E-4</v>
      </c>
      <c r="N58" s="1">
        <f t="shared" si="69"/>
        <v>7.4906367041198505E-4</v>
      </c>
      <c r="O58" s="1">
        <f t="shared" si="67"/>
        <v>7.4794315632011965E-4</v>
      </c>
      <c r="P58" s="1">
        <f t="shared" si="56"/>
        <v>7.4404761904761901E-4</v>
      </c>
      <c r="Q58" s="1">
        <f t="shared" si="60"/>
        <v>7.4952919932200462E-4</v>
      </c>
      <c r="S58" s="1">
        <v>180</v>
      </c>
      <c r="T58" s="27">
        <f t="shared" si="61"/>
        <v>0.13817771084337346</v>
      </c>
      <c r="U58" s="28">
        <f t="shared" si="62"/>
        <v>0.13903541823662391</v>
      </c>
      <c r="V58" s="28">
        <f t="shared" si="63"/>
        <v>0.13220973782771533</v>
      </c>
      <c r="W58" s="28">
        <f t="shared" si="64"/>
        <v>0.13051608077786078</v>
      </c>
      <c r="X58" s="33">
        <f t="shared" si="65"/>
        <v>0.12462797619047605</v>
      </c>
      <c r="Y58" s="31">
        <f t="shared" si="66"/>
        <v>0.13291338477520992</v>
      </c>
    </row>
    <row r="59" spans="1:25" x14ac:dyDescent="0.25">
      <c r="A59" s="10" t="s">
        <v>9</v>
      </c>
      <c r="B59" s="11">
        <v>210</v>
      </c>
      <c r="C59" s="20">
        <f>'Lote 4'!C14</f>
        <v>1349</v>
      </c>
      <c r="D59" s="11">
        <f>'Lote 4'!D14</f>
        <v>1337</v>
      </c>
      <c r="E59" s="11">
        <f>'Lote 4'!E14</f>
        <v>1326</v>
      </c>
      <c r="F59" s="11">
        <f>'Lote 4'!F14</f>
        <v>1326</v>
      </c>
      <c r="G59" s="16">
        <f>'Lote 4'!G14</f>
        <v>1317</v>
      </c>
      <c r="H59" s="11">
        <f t="shared" si="57"/>
        <v>1331</v>
      </c>
      <c r="I59" s="12">
        <f t="shared" ref="I59" si="70">_xlfn.STDEV.S(C59:G59)</f>
        <v>12.308533625091171</v>
      </c>
      <c r="K59" s="11">
        <v>210</v>
      </c>
      <c r="L59" s="20">
        <f t="shared" si="59"/>
        <v>7.4128984432913266E-4</v>
      </c>
      <c r="M59" s="11">
        <f t="shared" si="53"/>
        <v>7.4794315632011965E-4</v>
      </c>
      <c r="N59" s="11">
        <f t="shared" si="69"/>
        <v>7.5414781297134241E-4</v>
      </c>
      <c r="O59" s="11">
        <f t="shared" si="67"/>
        <v>7.5414781297134241E-4</v>
      </c>
      <c r="P59" s="11">
        <f t="shared" si="56"/>
        <v>7.5930144267274111E-4</v>
      </c>
      <c r="Q59" s="11">
        <f t="shared" si="60"/>
        <v>7.5136601385293567E-4</v>
      </c>
      <c r="S59" s="11">
        <v>210</v>
      </c>
      <c r="T59" s="95">
        <f t="shared" si="61"/>
        <v>0.12045959970348394</v>
      </c>
      <c r="U59" s="96">
        <f t="shared" si="62"/>
        <v>0.13051608077786078</v>
      </c>
      <c r="V59" s="96">
        <f t="shared" si="63"/>
        <v>0.13989441930618399</v>
      </c>
      <c r="W59" s="96">
        <f t="shared" si="64"/>
        <v>0.13989441930618399</v>
      </c>
      <c r="X59" s="97">
        <f t="shared" si="65"/>
        <v>0.14768413059984811</v>
      </c>
      <c r="Y59" s="31">
        <f t="shared" si="66"/>
        <v>0.13568972993871214</v>
      </c>
    </row>
    <row r="60" spans="1:25" x14ac:dyDescent="0.25">
      <c r="Y60"/>
    </row>
    <row r="61" spans="1:25" x14ac:dyDescent="0.25">
      <c r="K61" s="143" t="s">
        <v>19</v>
      </c>
      <c r="L61" s="143"/>
      <c r="M61" s="91">
        <f>1/AVERAGE(H4,H19,H34,H49)</f>
        <v>6.6159444260668215E-4</v>
      </c>
      <c r="Y61"/>
    </row>
    <row r="62" spans="1:25" x14ac:dyDescent="0.25">
      <c r="Y62"/>
    </row>
    <row r="63" spans="1:25" x14ac:dyDescent="0.25">
      <c r="K63" s="3" t="s">
        <v>20</v>
      </c>
      <c r="L63" s="3" t="s">
        <v>21</v>
      </c>
      <c r="M63" s="4" t="s">
        <v>22</v>
      </c>
      <c r="Y63"/>
    </row>
    <row r="64" spans="1:25" x14ac:dyDescent="0.25">
      <c r="K64" s="6">
        <v>1</v>
      </c>
      <c r="L64" s="104">
        <f>Y14</f>
        <v>0.12364486220976086</v>
      </c>
      <c r="M64" s="135">
        <f>L64/0.2</f>
        <v>0.61822431104880426</v>
      </c>
      <c r="P64" s="103"/>
      <c r="Y64"/>
    </row>
    <row r="65" spans="11:25" x14ac:dyDescent="0.25">
      <c r="K65" s="1">
        <v>2</v>
      </c>
      <c r="L65" s="105">
        <f>Y29</f>
        <v>0.12133157467118924</v>
      </c>
      <c r="M65" s="136">
        <f t="shared" ref="M65:M67" si="71">L65/0.2</f>
        <v>0.60665787335594612</v>
      </c>
      <c r="Y65"/>
    </row>
    <row r="66" spans="11:25" x14ac:dyDescent="0.25">
      <c r="K66" s="1">
        <v>3</v>
      </c>
      <c r="L66" s="105">
        <f>Y44</f>
        <v>0.13633194560050796</v>
      </c>
      <c r="M66" s="136">
        <f t="shared" si="71"/>
        <v>0.68165972800253971</v>
      </c>
      <c r="Y66"/>
    </row>
    <row r="67" spans="11:25" x14ac:dyDescent="0.25">
      <c r="K67" s="9">
        <v>4</v>
      </c>
      <c r="L67" s="98">
        <f>Y59</f>
        <v>0.13568972993871214</v>
      </c>
      <c r="M67" s="137">
        <f t="shared" si="71"/>
        <v>0.67844864969356067</v>
      </c>
      <c r="Y67"/>
    </row>
    <row r="68" spans="11:25" x14ac:dyDescent="0.25">
      <c r="K68" s="142" t="s">
        <v>23</v>
      </c>
      <c r="L68" s="142"/>
      <c r="M68" s="104">
        <f>AVERAGE(L64:L67)</f>
        <v>0.12924952810504253</v>
      </c>
      <c r="Y68"/>
    </row>
    <row r="69" spans="11:25" x14ac:dyDescent="0.25">
      <c r="K69" s="143" t="s">
        <v>24</v>
      </c>
      <c r="L69" s="143"/>
      <c r="M69" s="1">
        <f>_xlfn.STDEV.S(L64:L67)</f>
        <v>7.8685683495978449E-3</v>
      </c>
      <c r="Y69"/>
    </row>
    <row r="70" spans="11:25" x14ac:dyDescent="0.25">
      <c r="K70" s="144" t="s">
        <v>25</v>
      </c>
      <c r="L70" s="145"/>
      <c r="M70" s="137">
        <f>M68/0.2</f>
        <v>0.64624764052521266</v>
      </c>
      <c r="Y70"/>
    </row>
    <row r="71" spans="11:25" x14ac:dyDescent="0.25">
      <c r="M71" s="103"/>
      <c r="Y71"/>
    </row>
    <row r="72" spans="11:25" x14ac:dyDescent="0.25">
      <c r="Y72"/>
    </row>
    <row r="73" spans="11:25" x14ac:dyDescent="0.25">
      <c r="Y73"/>
    </row>
    <row r="74" spans="11:25" x14ac:dyDescent="0.25">
      <c r="K74" s="138"/>
    </row>
    <row r="75" spans="11:25" x14ac:dyDescent="0.25">
      <c r="K75" s="138"/>
    </row>
  </sheetData>
  <mergeCells count="20">
    <mergeCell ref="K68:L68"/>
    <mergeCell ref="K69:L69"/>
    <mergeCell ref="K70:L70"/>
    <mergeCell ref="K61:L61"/>
    <mergeCell ref="A47:I47"/>
    <mergeCell ref="K47:Q47"/>
    <mergeCell ref="S47:Y47"/>
    <mergeCell ref="A1:Y1"/>
    <mergeCell ref="A16:Y16"/>
    <mergeCell ref="A17:I17"/>
    <mergeCell ref="K17:Q17"/>
    <mergeCell ref="S17:Y17"/>
    <mergeCell ref="A2:I2"/>
    <mergeCell ref="K32:Q32"/>
    <mergeCell ref="S32:Y32"/>
    <mergeCell ref="K2:Q2"/>
    <mergeCell ref="S2:Y2"/>
    <mergeCell ref="A31:Y31"/>
    <mergeCell ref="A32:I32"/>
    <mergeCell ref="A46:Y4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1AEB-76DB-47B5-B4EA-0714DE031B66}">
  <dimension ref="A1:V40"/>
  <sheetViews>
    <sheetView workbookViewId="0">
      <pane xSplit="1" topLeftCell="B1" activePane="topRight" state="frozen"/>
      <selection pane="topRight" activeCell="V60" sqref="V60"/>
    </sheetView>
  </sheetViews>
  <sheetFormatPr baseColWidth="10" defaultColWidth="11.42578125" defaultRowHeight="15" x14ac:dyDescent="0.25"/>
  <cols>
    <col min="1" max="1" width="7.42578125" customWidth="1"/>
    <col min="2" max="2" width="6.7109375" customWidth="1"/>
    <col min="3" max="3" width="8.7109375" customWidth="1"/>
    <col min="4" max="4" width="9.28515625" customWidth="1"/>
    <col min="5" max="5" width="8.5703125" customWidth="1"/>
    <col min="6" max="6" width="7.42578125" customWidth="1"/>
    <col min="7" max="7" width="7.85546875" customWidth="1"/>
    <col min="8" max="8" width="8.7109375" customWidth="1"/>
    <col min="9" max="9" width="10" customWidth="1"/>
    <col min="10" max="10" width="8.5703125" customWidth="1"/>
    <col min="11" max="11" width="7.42578125" customWidth="1"/>
    <col min="12" max="12" width="7.85546875" customWidth="1"/>
    <col min="13" max="13" width="8.7109375" customWidth="1"/>
    <col min="14" max="14" width="9.28515625" customWidth="1"/>
    <col min="15" max="15" width="8.5703125" customWidth="1"/>
    <col min="16" max="16" width="7.42578125" customWidth="1"/>
    <col min="17" max="17" width="7.85546875" customWidth="1"/>
    <col min="18" max="18" width="8.7109375" customWidth="1"/>
    <col min="19" max="19" width="10.140625" customWidth="1"/>
    <col min="20" max="20" width="8.5703125" customWidth="1"/>
    <col min="21" max="21" width="8.28515625" bestFit="1" customWidth="1"/>
    <col min="22" max="22" width="7.85546875" customWidth="1"/>
    <col min="23" max="24" width="12" bestFit="1" customWidth="1"/>
  </cols>
  <sheetData>
    <row r="1" spans="1:22" s="5" customFormat="1" x14ac:dyDescent="0.25">
      <c r="A1" s="157" t="s">
        <v>0</v>
      </c>
      <c r="B1" s="159" t="s">
        <v>1</v>
      </c>
      <c r="C1" s="154" t="s">
        <v>10</v>
      </c>
      <c r="D1" s="155"/>
      <c r="E1" s="155"/>
      <c r="F1" s="155"/>
      <c r="G1" s="156"/>
      <c r="H1" s="154" t="s">
        <v>16</v>
      </c>
      <c r="I1" s="155"/>
      <c r="J1" s="155"/>
      <c r="K1" s="155"/>
      <c r="L1" s="156"/>
      <c r="M1" s="154" t="s">
        <v>17</v>
      </c>
      <c r="N1" s="155"/>
      <c r="O1" s="155"/>
      <c r="P1" s="155"/>
      <c r="Q1" s="156"/>
      <c r="R1" s="154" t="s">
        <v>18</v>
      </c>
      <c r="S1" s="155"/>
      <c r="T1" s="155"/>
      <c r="U1" s="155"/>
      <c r="V1" s="156"/>
    </row>
    <row r="2" spans="1:22" s="42" customFormat="1" ht="27" x14ac:dyDescent="0.25">
      <c r="A2" s="158"/>
      <c r="B2" s="160"/>
      <c r="C2" s="133" t="s">
        <v>2</v>
      </c>
      <c r="D2" s="67" t="s">
        <v>26</v>
      </c>
      <c r="E2" s="67" t="s">
        <v>27</v>
      </c>
      <c r="F2" s="80" t="s">
        <v>28</v>
      </c>
      <c r="G2" s="81" t="s">
        <v>29</v>
      </c>
      <c r="H2" s="133" t="s">
        <v>2</v>
      </c>
      <c r="I2" s="67" t="s">
        <v>26</v>
      </c>
      <c r="J2" s="67" t="s">
        <v>27</v>
      </c>
      <c r="K2" s="80" t="s">
        <v>28</v>
      </c>
      <c r="L2" s="81" t="s">
        <v>29</v>
      </c>
      <c r="M2" s="133" t="s">
        <v>2</v>
      </c>
      <c r="N2" s="67" t="s">
        <v>26</v>
      </c>
      <c r="O2" s="67" t="s">
        <v>27</v>
      </c>
      <c r="P2" s="80" t="s">
        <v>28</v>
      </c>
      <c r="Q2" s="81" t="s">
        <v>29</v>
      </c>
      <c r="R2" s="133" t="s">
        <v>2</v>
      </c>
      <c r="S2" s="67" t="s">
        <v>26</v>
      </c>
      <c r="T2" s="67" t="s">
        <v>27</v>
      </c>
      <c r="U2" s="80" t="s">
        <v>28</v>
      </c>
      <c r="V2" s="81" t="s">
        <v>29</v>
      </c>
    </row>
    <row r="3" spans="1:22" x14ac:dyDescent="0.25">
      <c r="A3" s="68">
        <v>0</v>
      </c>
      <c r="B3" s="69">
        <v>0</v>
      </c>
      <c r="C3" s="70">
        <f>'Lote 1'!H4</f>
        <v>1502</v>
      </c>
      <c r="D3" s="114">
        <v>0</v>
      </c>
      <c r="E3" s="71">
        <f>'Lote 1'!M4</f>
        <v>0.93200000000000005</v>
      </c>
      <c r="F3" s="72">
        <f>'Lote 1'!R4</f>
        <v>0</v>
      </c>
      <c r="G3" s="73">
        <f>'Lote 1'!Z4</f>
        <v>0.90248333333333319</v>
      </c>
      <c r="H3" s="70">
        <f>'Lote 2'!H4</f>
        <v>1515</v>
      </c>
      <c r="I3" s="114">
        <v>0</v>
      </c>
      <c r="J3" s="72">
        <f>'Lote 2'!M4</f>
        <v>0.88</v>
      </c>
      <c r="K3" s="72">
        <f>'Lote 2'!R4</f>
        <v>0</v>
      </c>
      <c r="L3" s="73">
        <f>'Lote 2'!Z4</f>
        <v>0.90328333333333344</v>
      </c>
      <c r="M3" s="70">
        <f>'Lote 3'!H4</f>
        <v>1526</v>
      </c>
      <c r="N3" s="114">
        <v>0</v>
      </c>
      <c r="O3" s="72">
        <f>'Lote 3'!M4</f>
        <v>0.97899999999999998</v>
      </c>
      <c r="P3" s="72">
        <f>'Lote 3'!R4</f>
        <v>0</v>
      </c>
      <c r="Q3" s="73">
        <f>'Lote 3'!Z4</f>
        <v>0.89911666666666668</v>
      </c>
      <c r="R3" s="70">
        <f>'Lote 4'!H4</f>
        <v>1502</v>
      </c>
      <c r="S3" s="114">
        <v>0</v>
      </c>
      <c r="T3" s="72">
        <f>'Lote 4'!M4</f>
        <v>0.99839999999999995</v>
      </c>
      <c r="U3" s="71">
        <f>'Lote 4'!R4</f>
        <v>0</v>
      </c>
      <c r="V3" s="73">
        <f>'Lote 4'!AD4</f>
        <v>0.89764999999999995</v>
      </c>
    </row>
    <row r="4" spans="1:22" x14ac:dyDescent="0.25">
      <c r="A4" s="68">
        <v>1</v>
      </c>
      <c r="B4" s="69">
        <v>20</v>
      </c>
      <c r="C4" s="70">
        <f>'Lote 1'!H5</f>
        <v>1510</v>
      </c>
      <c r="D4" s="115">
        <f>'%Ganancia'!Y5</f>
        <v>7.7990410572118375E-4</v>
      </c>
      <c r="E4" s="71">
        <f>'Lote 1'!M5</f>
        <v>0.92</v>
      </c>
      <c r="F4" s="72">
        <f>'Lote 1'!R5</f>
        <v>0</v>
      </c>
      <c r="G4" s="73">
        <f>'Lote 1'!Z5</f>
        <v>0.90993333333333337</v>
      </c>
      <c r="H4" s="70">
        <f>'Lote 2'!H5</f>
        <v>1521</v>
      </c>
      <c r="I4" s="115">
        <f>'%Ganancia'!Y20</f>
        <v>7.1251874058305964E-3</v>
      </c>
      <c r="J4" s="72">
        <f>'Lote 2'!M5</f>
        <v>0.99</v>
      </c>
      <c r="K4" s="72">
        <f>'Lote 2'!R5</f>
        <v>8.0000000000000002E-3</v>
      </c>
      <c r="L4" s="73">
        <f>'Lote 2'!Z5</f>
        <v>0.91190206851971567</v>
      </c>
      <c r="M4" s="70">
        <f>'Lote 3'!H5</f>
        <v>1503</v>
      </c>
      <c r="N4" s="115">
        <f>'%Ganancia'!Y35</f>
        <v>5.7391875522073976E-3</v>
      </c>
      <c r="O4" s="72">
        <f>'Lote 3'!M5</f>
        <v>0.93600000000000005</v>
      </c>
      <c r="P4" s="72">
        <f>'Lote 3'!R5</f>
        <v>1.2E-2</v>
      </c>
      <c r="Q4" s="73">
        <f>'Lote 3'!Z5</f>
        <v>0.91367700926524453</v>
      </c>
      <c r="R4" s="70">
        <f>'Lote 4'!H5</f>
        <v>1497</v>
      </c>
      <c r="S4" s="115">
        <f>'%Ganancia'!Y50</f>
        <v>9.5658496170933378E-3</v>
      </c>
      <c r="T4" s="72">
        <f>'Lote 4'!M5</f>
        <v>0.93489999999999995</v>
      </c>
      <c r="U4" s="71">
        <f>'Lote 4'!R5</f>
        <v>1.43E-2</v>
      </c>
      <c r="V4" s="73">
        <f>'Lote 4'!AD5</f>
        <v>0.91469295410471863</v>
      </c>
    </row>
    <row r="5" spans="1:22" x14ac:dyDescent="0.25">
      <c r="A5" s="68">
        <v>2</v>
      </c>
      <c r="B5" s="69">
        <v>40</v>
      </c>
      <c r="C5" s="70">
        <f>'Lote 1'!H6</f>
        <v>1498</v>
      </c>
      <c r="D5" s="115">
        <f>'%Ganancia'!Y6</f>
        <v>8.6516572854604193E-3</v>
      </c>
      <c r="E5" s="71">
        <f>'Lote 1'!M6</f>
        <v>0.95</v>
      </c>
      <c r="F5" s="72">
        <f>'Lote 1'!R6</f>
        <v>0</v>
      </c>
      <c r="G5" s="73">
        <f>'Lote 1'!Z6</f>
        <v>0.92180295195001072</v>
      </c>
      <c r="H5" s="70">
        <f>'Lote 2'!H6</f>
        <v>1503</v>
      </c>
      <c r="I5" s="115">
        <f>'%Ganancia'!Y21</f>
        <v>6.858627833415341E-3</v>
      </c>
      <c r="J5" s="72">
        <f>'Lote 2'!M6</f>
        <v>0.88600000000000001</v>
      </c>
      <c r="K5" s="72">
        <f>'Lote 2'!R6</f>
        <v>1.2999999999999999E-2</v>
      </c>
      <c r="L5" s="73">
        <f>'Lote 2'!Z6</f>
        <v>0.91801605257487606</v>
      </c>
      <c r="M5" s="70">
        <f>'Lote 3'!H6</f>
        <v>1481</v>
      </c>
      <c r="N5" s="115">
        <f>'%Ganancia'!Y36</f>
        <v>2.0364028619254813E-2</v>
      </c>
      <c r="O5" s="72">
        <f>'Lote 3'!M6</f>
        <v>0.93600000000000005</v>
      </c>
      <c r="P5" s="72">
        <f>'Lote 3'!R6</f>
        <v>1.4E-2</v>
      </c>
      <c r="Q5" s="73">
        <f>'Lote 3'!Z6</f>
        <v>0.92009803921568611</v>
      </c>
      <c r="R5" s="70">
        <f>'Lote 4'!H6</f>
        <v>1489</v>
      </c>
      <c r="S5" s="115">
        <f>'%Ganancia'!Y51</f>
        <v>1.499023636770111E-2</v>
      </c>
      <c r="T5" s="72">
        <f>'Lote 4'!M6</f>
        <v>1.0032000000000001</v>
      </c>
      <c r="U5" s="71">
        <f>'Lote 4'!R6</f>
        <v>1.5900000000000001E-2</v>
      </c>
      <c r="V5" s="73">
        <f>'Lote 4'!AD6</f>
        <v>0.92257918552036178</v>
      </c>
    </row>
    <row r="6" spans="1:22" x14ac:dyDescent="0.25">
      <c r="A6" s="68">
        <v>3</v>
      </c>
      <c r="B6" s="69">
        <v>60</v>
      </c>
      <c r="C6" s="70">
        <f>'Lote 1'!H7</f>
        <v>1477</v>
      </c>
      <c r="D6" s="115">
        <f>'%Ganancia'!Y7</f>
        <v>2.3009634427362861E-2</v>
      </c>
      <c r="E6" s="71">
        <f>'Lote 1'!M7</f>
        <v>0.91</v>
      </c>
      <c r="F6" s="72">
        <f>'Lote 1'!R7</f>
        <v>0</v>
      </c>
      <c r="G6" s="73">
        <f>'Lote 1'!Z7</f>
        <v>0.92884076707606111</v>
      </c>
      <c r="H6" s="70">
        <f>'Lote 2'!H7</f>
        <v>1493</v>
      </c>
      <c r="I6" s="115">
        <f>'%Ganancia'!Y22</f>
        <v>1.2016237194735503E-2</v>
      </c>
      <c r="J6" s="72">
        <f>'Lote 2'!M7</f>
        <v>0.89300000000000002</v>
      </c>
      <c r="K6" s="72">
        <f>'Lote 2'!R7</f>
        <v>1.6E-2</v>
      </c>
      <c r="L6" s="73">
        <f>'Lote 2'!Z7</f>
        <v>0.92113768584356814</v>
      </c>
      <c r="M6" s="70">
        <f>'Lote 3'!H7</f>
        <v>1458</v>
      </c>
      <c r="N6" s="115">
        <f>'%Ganancia'!Y37</f>
        <v>3.6743298414499456E-2</v>
      </c>
      <c r="O6" s="72">
        <f>'Lote 3'!M7</f>
        <v>0.83199999999999996</v>
      </c>
      <c r="P6" s="72">
        <f>'Lote 3'!R7</f>
        <v>1.7999999999999999E-2</v>
      </c>
      <c r="Q6" s="73">
        <f>'Lote 3'!Z7</f>
        <v>0.92278873087696611</v>
      </c>
      <c r="R6" s="70">
        <f>'Lote 4'!H7</f>
        <v>1462</v>
      </c>
      <c r="S6" s="115">
        <f>'%Ganancia'!Y52</f>
        <v>3.3749885282838385E-2</v>
      </c>
      <c r="T6" s="72">
        <f>'Lote 4'!M7</f>
        <v>0.96509999999999996</v>
      </c>
      <c r="U6" s="71">
        <f>'Lote 4'!R7</f>
        <v>1.9E-2</v>
      </c>
      <c r="V6" s="73">
        <f>'Lote 4'!AD7</f>
        <v>0.92540400775694887</v>
      </c>
    </row>
    <row r="7" spans="1:22" x14ac:dyDescent="0.25">
      <c r="A7" s="68">
        <v>4</v>
      </c>
      <c r="B7" s="69">
        <v>80</v>
      </c>
      <c r="C7" s="70">
        <f>'Lote 1'!H8</f>
        <v>1457</v>
      </c>
      <c r="D7" s="115">
        <f>'%Ganancia'!Y8</f>
        <v>3.7508008703882524E-2</v>
      </c>
      <c r="E7" s="71">
        <f>'Lote 1'!M8</f>
        <v>0.95</v>
      </c>
      <c r="F7" s="72">
        <f>'Lote 1'!R8</f>
        <v>0</v>
      </c>
      <c r="G7" s="73">
        <f>'Lote 1'!Z8</f>
        <v>0.93654384830855408</v>
      </c>
      <c r="H7" s="70">
        <f>'Lote 2'!H8</f>
        <v>1469</v>
      </c>
      <c r="I7" s="115">
        <f>'%Ganancia'!Y23</f>
        <v>2.8857826713132056E-2</v>
      </c>
      <c r="J7" s="72">
        <f>'Lote 2'!M8</f>
        <v>0.91900000000000004</v>
      </c>
      <c r="K7" s="72">
        <f>'Lote 2'!R8</f>
        <v>3.2000000000000001E-2</v>
      </c>
      <c r="L7" s="73">
        <f>'Lote 2'!Z8</f>
        <v>0.92810816634346038</v>
      </c>
      <c r="M7" s="70">
        <f>'Lote 3'!H8</f>
        <v>1445</v>
      </c>
      <c r="N7" s="115">
        <f>'%Ganancia'!Y38</f>
        <v>4.6057261537772468E-2</v>
      </c>
      <c r="O7" s="72">
        <f>'Lote 3'!M8</f>
        <v>0.90400000000000003</v>
      </c>
      <c r="P7" s="72">
        <f>'Lote 3'!R8</f>
        <v>1.9E-2</v>
      </c>
      <c r="Q7" s="73">
        <f>'Lote 3'!Z8</f>
        <v>0.92755871579400984</v>
      </c>
      <c r="R7" s="70">
        <f>'Lote 4'!H8</f>
        <v>1451</v>
      </c>
      <c r="S7" s="115">
        <f>'%Ganancia'!Y53</f>
        <v>4.1349163508865333E-2</v>
      </c>
      <c r="T7" s="72">
        <f>'Lote 4'!M8</f>
        <v>0.94599999999999995</v>
      </c>
      <c r="U7" s="71">
        <f>'Lote 4'!R8</f>
        <v>2.2200000000000001E-2</v>
      </c>
      <c r="V7" s="73">
        <f>'Lote 4'!AD8</f>
        <v>0.93347931480284418</v>
      </c>
    </row>
    <row r="8" spans="1:22" x14ac:dyDescent="0.25">
      <c r="A8" s="68">
        <v>5</v>
      </c>
      <c r="B8" s="69">
        <v>100</v>
      </c>
      <c r="C8" s="70">
        <f>'Lote 1'!H9</f>
        <v>1443</v>
      </c>
      <c r="D8" s="115">
        <f>'%Ganancia'!Y9</f>
        <v>4.7515204702170057E-2</v>
      </c>
      <c r="E8" s="71">
        <f>'Lote 1'!M9</f>
        <v>0.93</v>
      </c>
      <c r="F8" s="72">
        <f>'Lote 1'!R9</f>
        <v>0.01</v>
      </c>
      <c r="G8" s="73">
        <f>'Lote 1'!Z9</f>
        <v>0.94039269553975435</v>
      </c>
      <c r="H8" s="70">
        <f>'Lote 2'!H9</f>
        <v>1438</v>
      </c>
      <c r="I8" s="115">
        <f>'%Ganancia'!Y24</f>
        <v>5.0755578857861652E-2</v>
      </c>
      <c r="J8" s="72">
        <f>'Lote 2'!M9</f>
        <v>0.92400000000000004</v>
      </c>
      <c r="K8" s="72">
        <f>'Lote 2'!R9</f>
        <v>3.6999999999999998E-2</v>
      </c>
      <c r="L8" s="73">
        <f>'Lote 2'!Z9</f>
        <v>0.93067765567765559</v>
      </c>
      <c r="M8" s="70">
        <f>'Lote 3'!H9</f>
        <v>1398</v>
      </c>
      <c r="N8" s="115">
        <f>'%Ganancia'!Y39</f>
        <v>8.1094397836225976E-2</v>
      </c>
      <c r="O8" s="72">
        <f>'Lote 3'!M9</f>
        <v>0.91</v>
      </c>
      <c r="P8" s="72">
        <f>'Lote 3'!R9</f>
        <v>0.02</v>
      </c>
      <c r="Q8" s="73">
        <f>'Lote 3'!Z9</f>
        <v>0.92939291101055799</v>
      </c>
      <c r="R8" s="70">
        <f>'Lote 4'!H9</f>
        <v>1421</v>
      </c>
      <c r="S8" s="115">
        <f>'%Ganancia'!Y54</f>
        <v>6.3592105762038331E-2</v>
      </c>
      <c r="T8" s="72">
        <f>'Lote 4'!M9</f>
        <v>0.9194</v>
      </c>
      <c r="U8" s="71">
        <f>'Lote 4'!R9</f>
        <v>3.0200000000000001E-2</v>
      </c>
      <c r="V8" s="73">
        <f>'Lote 4'!AD9</f>
        <v>0.93832255979314794</v>
      </c>
    </row>
    <row r="9" spans="1:22" x14ac:dyDescent="0.25">
      <c r="A9" s="68">
        <v>6</v>
      </c>
      <c r="B9" s="69">
        <v>120</v>
      </c>
      <c r="C9" s="70">
        <f>'Lote 1'!H10</f>
        <v>1404</v>
      </c>
      <c r="D9" s="115">
        <f>'%Ganancia'!Y10</f>
        <v>7.6615269671776287E-2</v>
      </c>
      <c r="E9" s="71">
        <f>'Lote 1'!M10</f>
        <v>0.98</v>
      </c>
      <c r="F9" s="72">
        <f>'Lote 1'!R10</f>
        <v>0.01</v>
      </c>
      <c r="G9" s="73">
        <f>'Lote 1'!Z10</f>
        <v>0.94467787114845947</v>
      </c>
      <c r="H9" s="70">
        <f>'Lote 2'!H10</f>
        <v>1408</v>
      </c>
      <c r="I9" s="115">
        <f>'%Ganancia'!Y25</f>
        <v>7.327264581551958E-2</v>
      </c>
      <c r="J9" s="72">
        <f>'Lote 2'!M10</f>
        <v>0.95899999999999996</v>
      </c>
      <c r="K9" s="72">
        <f>'Lote 2'!R10</f>
        <v>3.7999999999999999E-2</v>
      </c>
      <c r="L9" s="73">
        <f>'Lote 2'!Z10</f>
        <v>0.93698017668605893</v>
      </c>
      <c r="M9" s="70">
        <f>'Lote 3'!H10</f>
        <v>1383</v>
      </c>
      <c r="N9" s="115">
        <f>'%Ganancia'!Y40</f>
        <v>9.2510049328270533E-2</v>
      </c>
      <c r="O9" s="72">
        <f>'Lote 3'!M10</f>
        <v>0.92200000000000004</v>
      </c>
      <c r="P9" s="72">
        <f>'Lote 3'!R10</f>
        <v>2.3E-2</v>
      </c>
      <c r="Q9" s="73">
        <f>'Lote 3'!Z10</f>
        <v>0.93422215039862089</v>
      </c>
      <c r="R9" s="70">
        <f>'Lote 4'!H10</f>
        <v>1395</v>
      </c>
      <c r="S9" s="115">
        <f>'%Ganancia'!Y55</f>
        <v>8.3521436732169843E-2</v>
      </c>
      <c r="T9" s="72">
        <f>'Lote 4'!M10</f>
        <v>0.91</v>
      </c>
      <c r="U9" s="71">
        <f>'Lote 4'!R10</f>
        <v>3.49E-2</v>
      </c>
      <c r="V9" s="73">
        <f>'Lote 4'!AD10</f>
        <v>0.9437524240465418</v>
      </c>
    </row>
    <row r="10" spans="1:22" x14ac:dyDescent="0.25">
      <c r="A10" s="68">
        <v>7</v>
      </c>
      <c r="B10" s="69">
        <v>140</v>
      </c>
      <c r="C10" s="70">
        <f>'Lote 1'!H11</f>
        <v>1390</v>
      </c>
      <c r="D10" s="115">
        <f>'%Ganancia'!Y11</f>
        <v>8.7140315310167832E-2</v>
      </c>
      <c r="E10" s="71">
        <f>'Lote 1'!M11</f>
        <v>0.95</v>
      </c>
      <c r="F10" s="72">
        <f>'Lote 1'!R11</f>
        <v>0.02</v>
      </c>
      <c r="G10" s="73">
        <f>'Lote 1'!Z11</f>
        <v>0.94786145227321705</v>
      </c>
      <c r="H10" s="70">
        <f>'Lote 2'!H11</f>
        <v>1386</v>
      </c>
      <c r="I10" s="115">
        <f>'%Ganancia'!Y26</f>
        <v>9.0567554797649011E-2</v>
      </c>
      <c r="J10" s="72">
        <f>'Lote 2'!M11</f>
        <v>0.92400000000000004</v>
      </c>
      <c r="K10" s="72">
        <f>'Lote 2'!R11</f>
        <v>4.2999999999999997E-2</v>
      </c>
      <c r="L10" s="73">
        <f>'Lote 2'!Z11</f>
        <v>0.94297565179918108</v>
      </c>
      <c r="M10" s="70">
        <f>'Lote 3'!H11</f>
        <v>1366</v>
      </c>
      <c r="N10" s="115">
        <f>'%Ganancia'!Y41</f>
        <v>0.10659640393396852</v>
      </c>
      <c r="O10" s="72">
        <f>'Lote 3'!M11</f>
        <v>0.90500000000000003</v>
      </c>
      <c r="P10" s="72">
        <f>'Lote 3'!R11</f>
        <v>2.4E-2</v>
      </c>
      <c r="Q10" s="73">
        <f>'Lote 3'!Z11</f>
        <v>0.93862044817927159</v>
      </c>
      <c r="R10" s="70">
        <f>'Lote 4'!H11</f>
        <v>1382</v>
      </c>
      <c r="S10" s="115">
        <f>'%Ganancia'!Y56</f>
        <v>9.3295931656609848E-2</v>
      </c>
      <c r="T10" s="72">
        <f>'Lote 4'!M11</f>
        <v>0.88109999999999999</v>
      </c>
      <c r="U10" s="71">
        <f>'Lote 4'!R11</f>
        <v>3.6499999999999998E-2</v>
      </c>
      <c r="V10" s="73">
        <f>'Lote 4'!AD11</f>
        <v>0.94624919198448598</v>
      </c>
    </row>
    <row r="11" spans="1:22" x14ac:dyDescent="0.25">
      <c r="A11" s="68">
        <v>8</v>
      </c>
      <c r="B11" s="69">
        <v>160</v>
      </c>
      <c r="C11" s="70">
        <f>'Lote 1'!H12</f>
        <v>1378</v>
      </c>
      <c r="D11" s="115">
        <f>'%Ganancia'!Y12</f>
        <v>9.6245282283375339E-2</v>
      </c>
      <c r="E11" s="71">
        <f>'Lote 1'!M12</f>
        <v>0.97</v>
      </c>
      <c r="F11" s="72">
        <f>'Lote 1'!R12</f>
        <v>0.02</v>
      </c>
      <c r="G11" s="73">
        <f>'Lote 1'!Z12</f>
        <v>0.95281189398836441</v>
      </c>
      <c r="H11" s="70">
        <f>'Lote 2'!H12</f>
        <v>1364</v>
      </c>
      <c r="I11" s="115">
        <f>'%Ganancia'!Y27</f>
        <v>0.1080144450718975</v>
      </c>
      <c r="J11" s="72">
        <f>'Lote 2'!M12</f>
        <v>0.97799999999999998</v>
      </c>
      <c r="K11" s="72">
        <f>'Lote 2'!R12</f>
        <v>4.4400000000000002E-2</v>
      </c>
      <c r="L11" s="73">
        <f>'Lote 2'!Z12</f>
        <v>0.94872602887308766</v>
      </c>
      <c r="M11" s="70">
        <f>'Lote 3'!H12</f>
        <v>1347</v>
      </c>
      <c r="N11" s="115">
        <f>'%Ganancia'!Y42</f>
        <v>0.12216454064111751</v>
      </c>
      <c r="O11" s="72">
        <f>'Lote 3'!M12</f>
        <v>0.97</v>
      </c>
      <c r="P11" s="72">
        <f>'Lote 3'!R12</f>
        <v>2.7E-2</v>
      </c>
      <c r="Q11" s="73">
        <f>'Lote 3'!Z12</f>
        <v>0.9429056237879766</v>
      </c>
      <c r="R11" s="70">
        <f>'Lote 4'!H12</f>
        <v>1356</v>
      </c>
      <c r="S11" s="115">
        <f>'%Ganancia'!Y57</f>
        <v>0.11463574770403469</v>
      </c>
      <c r="T11" s="72">
        <f>'Lote 4'!M12</f>
        <v>0.95399999999999996</v>
      </c>
      <c r="U11" s="71">
        <f>'Lote 4'!R12</f>
        <v>4.1300000000000003E-2</v>
      </c>
      <c r="V11" s="73">
        <f>'Lote 4'!AD12</f>
        <v>0.95252585649644461</v>
      </c>
    </row>
    <row r="12" spans="1:22" x14ac:dyDescent="0.25">
      <c r="A12" s="68">
        <v>9</v>
      </c>
      <c r="B12" s="69">
        <v>180</v>
      </c>
      <c r="C12" s="70">
        <f>'Lote 1'!H13</f>
        <v>1375</v>
      </c>
      <c r="D12" s="115">
        <f>'%Ganancia'!Y13</f>
        <v>9.8678310172776687E-2</v>
      </c>
      <c r="E12" s="71">
        <f>'Lote 1'!M13</f>
        <v>0.95</v>
      </c>
      <c r="F12" s="72">
        <f>'Lote 1'!R13</f>
        <v>0.02</v>
      </c>
      <c r="G12" s="73">
        <f>'Lote 1'!Z13</f>
        <v>0.95721557853910788</v>
      </c>
      <c r="H12" s="70">
        <f>'Lote 2'!H13</f>
        <v>1351</v>
      </c>
      <c r="I12" s="115">
        <f>'%Ganancia'!Y28</f>
        <v>0.11850413665752491</v>
      </c>
      <c r="J12" s="72">
        <f>'Lote 2'!M13</f>
        <v>0.91059999999999997</v>
      </c>
      <c r="K12" s="72">
        <f>'Lote 2'!R13</f>
        <v>4.5999999999999999E-2</v>
      </c>
      <c r="L12" s="73">
        <f>'Lote 2'!Z13</f>
        <v>0.95165912518853679</v>
      </c>
      <c r="M12" s="70">
        <f>'Lote 3'!H13</f>
        <v>1324</v>
      </c>
      <c r="N12" s="115">
        <f>'%Ganancia'!Y43</f>
        <v>0.14139641865750402</v>
      </c>
      <c r="O12" s="72">
        <f>'Lote 3'!M13</f>
        <v>0.92500000000000004</v>
      </c>
      <c r="P12" s="72">
        <f>'Lote 3'!R13</f>
        <v>2.5000000000000001E-2</v>
      </c>
      <c r="Q12" s="73">
        <f>'Lote 3'!Z13</f>
        <v>0.94731200172376651</v>
      </c>
      <c r="R12" s="70">
        <f>'Lote 4'!H13</f>
        <v>1334</v>
      </c>
      <c r="S12" s="115">
        <f>'%Ganancia'!Y58</f>
        <v>0.13291338477520992</v>
      </c>
      <c r="T12" s="72">
        <f>'Lote 4'!M13</f>
        <v>0.93659999999999999</v>
      </c>
      <c r="U12" s="71">
        <f>'Lote 4'!R13</f>
        <v>4.48E-2</v>
      </c>
      <c r="V12" s="73">
        <f>'Lote 4'!AD13</f>
        <v>0.95890917905623796</v>
      </c>
    </row>
    <row r="13" spans="1:22" x14ac:dyDescent="0.25">
      <c r="A13" s="74" t="s">
        <v>9</v>
      </c>
      <c r="B13" s="75">
        <v>200</v>
      </c>
      <c r="C13" s="76">
        <f>'Lote 1'!H14</f>
        <v>1345</v>
      </c>
      <c r="D13" s="116">
        <f>'%Ganancia'!Y14</f>
        <v>0.12364486220976086</v>
      </c>
      <c r="E13" s="77">
        <f>'Lote 1'!M14</f>
        <v>0.95</v>
      </c>
      <c r="F13" s="78">
        <f>'Lote 1'!R14</f>
        <v>0.02</v>
      </c>
      <c r="G13" s="79">
        <f>'Lote 1'!Z14</f>
        <v>0.96088666235725062</v>
      </c>
      <c r="H13" s="76">
        <f>'Lote 2'!H14</f>
        <v>1348</v>
      </c>
      <c r="I13" s="116">
        <f>'%Ganancia'!Y29</f>
        <v>0.12133157467118924</v>
      </c>
      <c r="J13" s="78">
        <f>'Lote 2'!M14</f>
        <v>1.0147999999999999</v>
      </c>
      <c r="K13" s="78">
        <f>'Lote 2'!R14</f>
        <v>5.5599999999999997E-2</v>
      </c>
      <c r="L13" s="79">
        <f>'Lote 2'!Z14</f>
        <v>0.95838181426416724</v>
      </c>
      <c r="M13" s="76">
        <f>'Lote 3'!H14</f>
        <v>1330</v>
      </c>
      <c r="N13" s="116">
        <f>'%Ganancia'!Y44</f>
        <v>0.13633194560050796</v>
      </c>
      <c r="O13" s="78">
        <f>'Lote 3'!M14</f>
        <v>0.96599999999999997</v>
      </c>
      <c r="P13" s="78">
        <f>'Lote 3'!R14</f>
        <v>3.1E-2</v>
      </c>
      <c r="Q13" s="79">
        <f>'Lote 3'!Z14</f>
        <v>0.95997091144149971</v>
      </c>
      <c r="R13" s="76">
        <f>'Lote 4'!H14</f>
        <v>1331</v>
      </c>
      <c r="S13" s="116">
        <f>'%Ganancia'!Y59</f>
        <v>0.13568972993871214</v>
      </c>
      <c r="T13" s="78">
        <f>'Lote 4'!M14</f>
        <v>0.9204</v>
      </c>
      <c r="U13" s="77">
        <f>'Lote 4'!R14</f>
        <v>5.0799999999999998E-2</v>
      </c>
      <c r="V13" s="79">
        <f>'Lote 4'!AD14</f>
        <v>0.96191822882999356</v>
      </c>
    </row>
    <row r="15" spans="1:22" x14ac:dyDescent="0.25">
      <c r="K15" s="161" t="s">
        <v>30</v>
      </c>
      <c r="L15" s="161"/>
      <c r="M15" s="117">
        <v>4.9899999999999999E-4</v>
      </c>
      <c r="N15" s="113"/>
      <c r="Q15" s="2"/>
      <c r="S15" s="1"/>
    </row>
    <row r="17" spans="11:21" x14ac:dyDescent="0.25">
      <c r="M17" s="3">
        <v>1</v>
      </c>
      <c r="N17" s="3">
        <v>2</v>
      </c>
      <c r="O17" s="3">
        <v>3</v>
      </c>
      <c r="P17" s="3">
        <v>4</v>
      </c>
    </row>
    <row r="18" spans="11:21" x14ac:dyDescent="0.25">
      <c r="K18" s="142" t="s">
        <v>31</v>
      </c>
      <c r="L18" s="142"/>
      <c r="M18" s="109">
        <f>E3</f>
        <v>0.93200000000000005</v>
      </c>
      <c r="N18" s="6">
        <f>J3</f>
        <v>0.88</v>
      </c>
      <c r="O18" s="6">
        <f>O3</f>
        <v>0.97899999999999998</v>
      </c>
      <c r="P18" s="6">
        <f>T3</f>
        <v>0.99839999999999995</v>
      </c>
    </row>
    <row r="19" spans="11:21" x14ac:dyDescent="0.25">
      <c r="K19" s="144" t="s">
        <v>32</v>
      </c>
      <c r="L19" s="144"/>
      <c r="M19" s="9">
        <f>F13</f>
        <v>0.02</v>
      </c>
      <c r="N19" s="9">
        <f>K13</f>
        <v>5.5599999999999997E-2</v>
      </c>
      <c r="O19" s="9">
        <f>P13</f>
        <v>3.1E-2</v>
      </c>
      <c r="P19" s="110">
        <f>U13</f>
        <v>5.0799999999999998E-2</v>
      </c>
    </row>
    <row r="20" spans="11:21" x14ac:dyDescent="0.25">
      <c r="M20" s="1"/>
      <c r="N20" s="1"/>
      <c r="O20" s="1"/>
      <c r="P20" s="1"/>
    </row>
    <row r="21" spans="11:21" x14ac:dyDescent="0.25">
      <c r="K21" s="142" t="s">
        <v>33</v>
      </c>
      <c r="L21" s="142"/>
      <c r="M21" s="111">
        <f>((PI()/6)*((3*(M18^2)*M19)+(3*M18*(M19^2))+(M19^3)))*$M$15</f>
        <v>1.3911326306643714E-5</v>
      </c>
      <c r="N21" s="111">
        <f t="shared" ref="N21:P21" si="0">((PI()/6)*((3*(N18^2)*N19)+(3*N18*(N19^2))+(N19^3)))*$M$15</f>
        <v>3.5926202209527864E-5</v>
      </c>
      <c r="O21" s="111">
        <f t="shared" si="0"/>
        <v>2.4034044197890333E-5</v>
      </c>
      <c r="P21" s="111">
        <f t="shared" si="0"/>
        <v>4.1744905364737362E-5</v>
      </c>
    </row>
    <row r="22" spans="11:21" x14ac:dyDescent="0.25">
      <c r="K22" s="143" t="s">
        <v>34</v>
      </c>
      <c r="L22" s="143"/>
      <c r="M22" s="86">
        <f>'%Ganancia'!Q14-'%Ganancia'!M61</f>
        <v>8.1802753694846728E-5</v>
      </c>
      <c r="N22" s="1">
        <f>'%Ganancia'!Q29-'%Ganancia'!M61</f>
        <v>8.0272295515176504E-5</v>
      </c>
      <c r="O22" s="1">
        <f>'%Ganancia'!Q44-'%Ganancia'!M61</f>
        <v>9.0196457559052565E-5</v>
      </c>
      <c r="P22" s="1">
        <f>'%Ganancia'!Q59-'%Ganancia'!M61</f>
        <v>8.9771571246253525E-5</v>
      </c>
    </row>
    <row r="23" spans="11:21" x14ac:dyDescent="0.25">
      <c r="K23" s="145" t="s">
        <v>35</v>
      </c>
      <c r="L23" s="145"/>
      <c r="M23" s="112">
        <f>ABS(M21-M22)/M22</f>
        <v>0.82994061106380479</v>
      </c>
      <c r="N23" s="112">
        <f t="shared" ref="N23:P23" si="1">ABS(N21-N22)/N22</f>
        <v>0.55244580986555247</v>
      </c>
      <c r="O23" s="112">
        <f t="shared" si="1"/>
        <v>0.73353671698076395</v>
      </c>
      <c r="P23" s="112">
        <f t="shared" si="1"/>
        <v>0.53498747114243561</v>
      </c>
    </row>
    <row r="27" spans="11:21" x14ac:dyDescent="0.25">
      <c r="U27" s="108"/>
    </row>
    <row r="40" spans="20:20" x14ac:dyDescent="0.25">
      <c r="T40" t="s">
        <v>36</v>
      </c>
    </row>
  </sheetData>
  <mergeCells count="12">
    <mergeCell ref="K21:L21"/>
    <mergeCell ref="K22:L22"/>
    <mergeCell ref="K23:L23"/>
    <mergeCell ref="R1:V1"/>
    <mergeCell ref="A1:A2"/>
    <mergeCell ref="B1:B2"/>
    <mergeCell ref="C1:G1"/>
    <mergeCell ref="H1:L1"/>
    <mergeCell ref="M1:Q1"/>
    <mergeCell ref="K15:L15"/>
    <mergeCell ref="K18:L18"/>
    <mergeCell ref="K19:L19"/>
  </mergeCells>
  <phoneticPr fontId="9" type="noConversion"/>
  <pageMargins left="0.7" right="0.7" top="0.75" bottom="0.75" header="0.3" footer="0.3"/>
  <ignoredErrors>
    <ignoredError sqref="E3 E4:F13" evalError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FC3C-55C9-4FA0-9053-0598A533811B}">
  <dimension ref="A1:Q332"/>
  <sheetViews>
    <sheetView topLeftCell="A60" workbookViewId="0">
      <selection activeCell="AC29" sqref="AC29"/>
    </sheetView>
  </sheetViews>
  <sheetFormatPr baseColWidth="10" defaultColWidth="11.42578125" defaultRowHeight="15" x14ac:dyDescent="0.25"/>
  <cols>
    <col min="1" max="1" width="11.42578125" style="121"/>
    <col min="3" max="3" width="13.5703125" customWidth="1"/>
    <col min="5" max="5" width="11.42578125" style="120"/>
    <col min="7" max="7" width="13.42578125" customWidth="1"/>
    <col min="9" max="9" width="11.42578125" style="120"/>
    <col min="11" max="11" width="12.85546875" customWidth="1"/>
    <col min="13" max="13" width="11.42578125" style="120"/>
    <col min="15" max="15" width="12.140625" customWidth="1"/>
    <col min="17" max="17" width="11.42578125" style="120"/>
  </cols>
  <sheetData>
    <row r="1" spans="1:17" x14ac:dyDescent="0.25">
      <c r="B1" s="162" t="s">
        <v>10</v>
      </c>
      <c r="C1" s="163"/>
      <c r="D1" s="163"/>
      <c r="E1" s="164"/>
      <c r="F1" s="162" t="s">
        <v>16</v>
      </c>
      <c r="G1" s="163"/>
      <c r="H1" s="163"/>
      <c r="I1" s="164"/>
      <c r="J1" s="162" t="s">
        <v>17</v>
      </c>
      <c r="K1" s="163"/>
      <c r="L1" s="163"/>
      <c r="M1" s="164"/>
      <c r="N1" s="162" t="s">
        <v>18</v>
      </c>
      <c r="O1" s="163"/>
      <c r="P1" s="163"/>
      <c r="Q1" s="164"/>
    </row>
    <row r="2" spans="1:17" ht="30" x14ac:dyDescent="0.25">
      <c r="A2" s="119" t="s">
        <v>1</v>
      </c>
      <c r="B2" s="118" t="s">
        <v>37</v>
      </c>
      <c r="C2" s="118" t="s">
        <v>38</v>
      </c>
      <c r="D2" s="118" t="s">
        <v>39</v>
      </c>
      <c r="E2" s="119" t="s">
        <v>40</v>
      </c>
      <c r="F2" s="118" t="s">
        <v>37</v>
      </c>
      <c r="G2" s="118" t="s">
        <v>38</v>
      </c>
      <c r="H2" s="118" t="s">
        <v>39</v>
      </c>
      <c r="I2" s="119" t="s">
        <v>40</v>
      </c>
      <c r="J2" s="118" t="s">
        <v>37</v>
      </c>
      <c r="K2" s="118" t="s">
        <v>38</v>
      </c>
      <c r="L2" s="118" t="s">
        <v>39</v>
      </c>
      <c r="M2" s="119" t="s">
        <v>40</v>
      </c>
      <c r="N2" s="118" t="s">
        <v>37</v>
      </c>
      <c r="O2" s="118" t="s">
        <v>38</v>
      </c>
      <c r="P2" s="118" t="s">
        <v>39</v>
      </c>
      <c r="Q2" s="119" t="s">
        <v>40</v>
      </c>
    </row>
    <row r="3" spans="1:17" x14ac:dyDescent="0.25">
      <c r="A3" s="122">
        <v>1</v>
      </c>
      <c r="B3" s="1">
        <v>3.5</v>
      </c>
      <c r="C3" s="1">
        <v>5.7</v>
      </c>
      <c r="D3" s="1">
        <v>16.899999999999999</v>
      </c>
      <c r="E3" s="15">
        <v>3.78</v>
      </c>
      <c r="F3" s="1">
        <v>3.5</v>
      </c>
      <c r="G3" s="1">
        <v>5.7</v>
      </c>
      <c r="H3" s="1">
        <v>48.9</v>
      </c>
      <c r="I3" s="15">
        <v>2.92</v>
      </c>
      <c r="J3" s="1">
        <v>3.6</v>
      </c>
      <c r="K3" s="1">
        <v>6.3</v>
      </c>
      <c r="L3" s="1">
        <v>18</v>
      </c>
      <c r="M3" s="15">
        <v>0.26</v>
      </c>
      <c r="N3" s="1">
        <v>3.5</v>
      </c>
      <c r="O3" s="1">
        <v>5.9</v>
      </c>
      <c r="P3" s="1">
        <v>50.7</v>
      </c>
      <c r="Q3" s="15">
        <v>3.04</v>
      </c>
    </row>
    <row r="4" spans="1:17" x14ac:dyDescent="0.25">
      <c r="A4" s="122">
        <v>2</v>
      </c>
      <c r="B4" s="1">
        <v>3.5</v>
      </c>
      <c r="C4" s="1">
        <v>6.3</v>
      </c>
      <c r="D4" s="1">
        <v>17</v>
      </c>
      <c r="E4" s="15">
        <v>3.26</v>
      </c>
      <c r="F4" s="1">
        <v>3.5</v>
      </c>
      <c r="G4" s="1">
        <v>6.2</v>
      </c>
      <c r="H4" s="1">
        <v>49.1</v>
      </c>
      <c r="I4" s="15">
        <v>2.89</v>
      </c>
      <c r="J4" s="1">
        <v>3.5</v>
      </c>
      <c r="K4" s="1">
        <v>6.2</v>
      </c>
      <c r="L4" s="1">
        <v>18</v>
      </c>
      <c r="M4" s="15">
        <v>2.4500000000000002</v>
      </c>
      <c r="N4" s="1">
        <v>3.5</v>
      </c>
      <c r="O4" s="1">
        <v>6</v>
      </c>
      <c r="P4" s="1">
        <v>51.3</v>
      </c>
      <c r="Q4" s="15">
        <v>5.27</v>
      </c>
    </row>
    <row r="5" spans="1:17" x14ac:dyDescent="0.25">
      <c r="A5" s="122">
        <v>3</v>
      </c>
      <c r="B5" s="1">
        <v>3.5</v>
      </c>
      <c r="C5" s="1">
        <v>6.2</v>
      </c>
      <c r="D5" s="1">
        <v>26.1</v>
      </c>
      <c r="E5" s="15">
        <v>2.2400000000000002</v>
      </c>
      <c r="F5" s="1">
        <v>3.5</v>
      </c>
      <c r="G5" s="1">
        <v>6.2</v>
      </c>
      <c r="H5" s="1">
        <v>49.1</v>
      </c>
      <c r="I5" s="15">
        <v>2.93</v>
      </c>
      <c r="J5" s="1">
        <v>3.5</v>
      </c>
      <c r="K5" s="1">
        <v>6.2</v>
      </c>
      <c r="L5" s="1">
        <v>18</v>
      </c>
      <c r="M5" s="15">
        <v>2.39</v>
      </c>
      <c r="N5" s="1">
        <v>3.5</v>
      </c>
      <c r="O5" s="1">
        <v>6.2</v>
      </c>
      <c r="P5" s="1">
        <v>48.3</v>
      </c>
      <c r="Q5" s="15">
        <v>2.38</v>
      </c>
    </row>
    <row r="6" spans="1:17" x14ac:dyDescent="0.25">
      <c r="A6" s="122">
        <v>4</v>
      </c>
      <c r="B6" s="1">
        <v>3.5</v>
      </c>
      <c r="C6" s="1">
        <v>5.9</v>
      </c>
      <c r="D6" s="1">
        <v>32.6</v>
      </c>
      <c r="E6" s="15">
        <v>3.5</v>
      </c>
      <c r="F6" s="1">
        <v>3.5</v>
      </c>
      <c r="G6" s="1">
        <v>6</v>
      </c>
      <c r="H6" s="1">
        <v>49.3</v>
      </c>
      <c r="I6" s="15">
        <v>3</v>
      </c>
      <c r="J6" s="1">
        <v>3.5</v>
      </c>
      <c r="K6" s="1">
        <v>6</v>
      </c>
      <c r="L6" s="1">
        <v>18</v>
      </c>
      <c r="M6" s="15">
        <v>3.51</v>
      </c>
      <c r="N6" s="102">
        <v>3.5</v>
      </c>
      <c r="O6" s="102">
        <v>6.3</v>
      </c>
      <c r="P6" s="102">
        <v>42.3</v>
      </c>
      <c r="Q6" s="30">
        <v>2.5</v>
      </c>
    </row>
    <row r="7" spans="1:17" s="106" customFormat="1" x14ac:dyDescent="0.25">
      <c r="A7" s="123">
        <v>5</v>
      </c>
      <c r="B7" s="9">
        <v>3.5</v>
      </c>
      <c r="C7" s="9">
        <v>5.9</v>
      </c>
      <c r="D7" s="9">
        <v>34.700000000000003</v>
      </c>
      <c r="E7" s="22">
        <v>4.01</v>
      </c>
      <c r="F7" s="9">
        <v>3.5</v>
      </c>
      <c r="G7" s="9">
        <v>5.7</v>
      </c>
      <c r="H7" s="9">
        <v>49.5</v>
      </c>
      <c r="I7" s="22">
        <v>2.98</v>
      </c>
      <c r="J7" s="9">
        <v>3.5</v>
      </c>
      <c r="K7" s="9">
        <v>5.9</v>
      </c>
      <c r="L7" s="9">
        <v>18</v>
      </c>
      <c r="M7" s="22">
        <v>3.83</v>
      </c>
      <c r="N7" s="9">
        <v>3.5</v>
      </c>
      <c r="O7" s="9">
        <v>6.3</v>
      </c>
      <c r="P7" s="9">
        <v>48.4</v>
      </c>
      <c r="Q7" s="22">
        <v>2.84</v>
      </c>
    </row>
    <row r="8" spans="1:17" x14ac:dyDescent="0.25">
      <c r="A8" s="122">
        <v>6</v>
      </c>
      <c r="B8" s="1">
        <v>3.5</v>
      </c>
      <c r="C8" s="1">
        <v>6.2</v>
      </c>
      <c r="D8" s="1">
        <v>35.4</v>
      </c>
      <c r="E8" s="15">
        <v>3.88</v>
      </c>
      <c r="F8" s="1">
        <v>3.4</v>
      </c>
      <c r="G8" s="1">
        <v>6.2</v>
      </c>
      <c r="H8" s="1">
        <v>49.5</v>
      </c>
      <c r="I8" s="15">
        <v>2.99</v>
      </c>
      <c r="J8" s="1">
        <v>3.5</v>
      </c>
      <c r="K8" s="1">
        <v>6.3</v>
      </c>
      <c r="L8" s="1">
        <v>18</v>
      </c>
      <c r="M8" s="15">
        <v>4.26</v>
      </c>
      <c r="N8" s="1">
        <v>3.5</v>
      </c>
      <c r="O8" s="1">
        <v>6.2</v>
      </c>
      <c r="P8" s="1">
        <v>53.3</v>
      </c>
      <c r="Q8" s="15">
        <v>3.57</v>
      </c>
    </row>
    <row r="9" spans="1:17" x14ac:dyDescent="0.25">
      <c r="A9" s="122">
        <v>7</v>
      </c>
      <c r="B9" s="1">
        <v>3.5</v>
      </c>
      <c r="C9" s="1">
        <v>6</v>
      </c>
      <c r="D9" s="1">
        <v>35.9</v>
      </c>
      <c r="E9" s="15">
        <v>3.63</v>
      </c>
      <c r="F9" s="1">
        <v>3.4</v>
      </c>
      <c r="G9" s="1">
        <v>6.2</v>
      </c>
      <c r="H9" s="1">
        <v>49.5</v>
      </c>
      <c r="I9" s="15">
        <v>3.07</v>
      </c>
      <c r="J9" s="1">
        <v>3.5</v>
      </c>
      <c r="K9" s="1">
        <v>6.3</v>
      </c>
      <c r="L9" s="1">
        <v>18</v>
      </c>
      <c r="M9" s="15">
        <v>4.42</v>
      </c>
      <c r="N9" s="1">
        <v>3.5</v>
      </c>
      <c r="O9" s="1">
        <v>6.1</v>
      </c>
      <c r="P9" s="1">
        <v>47</v>
      </c>
      <c r="Q9" s="15">
        <v>2.36</v>
      </c>
    </row>
    <row r="10" spans="1:17" x14ac:dyDescent="0.25">
      <c r="A10" s="122">
        <v>8</v>
      </c>
      <c r="B10" s="1">
        <v>3.5</v>
      </c>
      <c r="C10" s="1">
        <v>5.6</v>
      </c>
      <c r="D10" s="1">
        <v>36.6</v>
      </c>
      <c r="E10" s="15">
        <v>3.6</v>
      </c>
      <c r="F10" s="1">
        <v>3.5</v>
      </c>
      <c r="G10" s="1">
        <v>6</v>
      </c>
      <c r="H10" s="1">
        <v>49.7</v>
      </c>
      <c r="I10" s="15">
        <v>2.97</v>
      </c>
      <c r="J10" s="1">
        <v>3.5</v>
      </c>
      <c r="K10" s="1">
        <v>6</v>
      </c>
      <c r="L10" s="1">
        <v>19.8</v>
      </c>
      <c r="M10" s="15">
        <v>0.23</v>
      </c>
      <c r="N10" s="1">
        <v>3.5</v>
      </c>
      <c r="O10" s="1">
        <v>5.8</v>
      </c>
      <c r="P10" s="1">
        <v>50.9</v>
      </c>
      <c r="Q10" s="15">
        <v>4</v>
      </c>
    </row>
    <row r="11" spans="1:17" x14ac:dyDescent="0.25">
      <c r="A11" s="122">
        <v>9</v>
      </c>
      <c r="B11" s="1">
        <v>3.5</v>
      </c>
      <c r="C11" s="1">
        <v>6.2</v>
      </c>
      <c r="D11" s="1">
        <v>37.6</v>
      </c>
      <c r="E11" s="15">
        <v>3.63</v>
      </c>
      <c r="F11" s="1">
        <v>3.4</v>
      </c>
      <c r="G11" s="1">
        <v>6.3</v>
      </c>
      <c r="H11" s="1">
        <v>50</v>
      </c>
      <c r="I11" s="15">
        <v>2.81</v>
      </c>
      <c r="J11" s="1">
        <v>3.5</v>
      </c>
      <c r="K11" s="1">
        <v>5.8</v>
      </c>
      <c r="L11" s="1">
        <v>36.1</v>
      </c>
      <c r="M11" s="15">
        <v>3</v>
      </c>
      <c r="N11" s="1">
        <v>3.5</v>
      </c>
      <c r="O11" s="1">
        <v>6.2</v>
      </c>
      <c r="P11" s="1">
        <v>48.9</v>
      </c>
      <c r="Q11" s="15">
        <v>2.15</v>
      </c>
    </row>
    <row r="12" spans="1:17" x14ac:dyDescent="0.25">
      <c r="A12" s="122">
        <v>10</v>
      </c>
      <c r="B12" s="1">
        <v>3.5</v>
      </c>
      <c r="C12" s="1">
        <v>6.1</v>
      </c>
      <c r="D12" s="1">
        <v>38.799999999999997</v>
      </c>
      <c r="E12" s="15">
        <v>3.69</v>
      </c>
      <c r="F12" s="1">
        <v>3.4</v>
      </c>
      <c r="G12" s="1">
        <v>6.2</v>
      </c>
      <c r="H12" s="1">
        <v>50.2</v>
      </c>
      <c r="I12" s="15">
        <v>2.81</v>
      </c>
      <c r="J12" s="102">
        <v>3.5</v>
      </c>
      <c r="K12" s="102">
        <v>6.3</v>
      </c>
      <c r="L12" s="102">
        <v>45.1</v>
      </c>
      <c r="M12" s="30">
        <v>3.57</v>
      </c>
      <c r="N12" s="1">
        <v>3.5</v>
      </c>
      <c r="O12" s="1">
        <v>6.2</v>
      </c>
      <c r="P12" s="1">
        <v>47.6</v>
      </c>
      <c r="Q12" s="15">
        <v>1.73</v>
      </c>
    </row>
    <row r="13" spans="1:17" x14ac:dyDescent="0.25">
      <c r="A13" s="122">
        <v>11</v>
      </c>
      <c r="B13" s="1">
        <v>3.5</v>
      </c>
      <c r="C13" s="1">
        <v>5.7</v>
      </c>
      <c r="D13" s="1">
        <v>40.5</v>
      </c>
      <c r="E13" s="15">
        <v>4.0599999999999996</v>
      </c>
      <c r="F13" s="1">
        <v>3.4</v>
      </c>
      <c r="G13" s="1">
        <v>6.1</v>
      </c>
      <c r="H13" s="1">
        <v>50.6</v>
      </c>
      <c r="I13" s="15">
        <v>2.84</v>
      </c>
      <c r="J13" s="1">
        <v>3.5</v>
      </c>
      <c r="K13" s="1">
        <v>6.2</v>
      </c>
      <c r="L13" s="1">
        <v>46.9</v>
      </c>
      <c r="M13" s="15">
        <v>3.61</v>
      </c>
      <c r="N13" s="1">
        <v>3.5</v>
      </c>
      <c r="O13" s="1">
        <v>6.1</v>
      </c>
      <c r="P13" s="1">
        <v>50.3</v>
      </c>
      <c r="Q13" s="15">
        <v>3.06</v>
      </c>
    </row>
    <row r="14" spans="1:17" x14ac:dyDescent="0.25">
      <c r="A14" s="122">
        <v>12</v>
      </c>
      <c r="B14" s="1">
        <v>3.5</v>
      </c>
      <c r="C14" s="1">
        <v>6.3</v>
      </c>
      <c r="D14" s="1">
        <v>42.3</v>
      </c>
      <c r="E14" s="15">
        <v>4.2</v>
      </c>
      <c r="F14" s="1">
        <v>3.5</v>
      </c>
      <c r="G14" s="1">
        <v>5.9</v>
      </c>
      <c r="H14" s="1">
        <v>51</v>
      </c>
      <c r="I14" s="15">
        <v>2.84</v>
      </c>
      <c r="J14" s="1">
        <v>3.5</v>
      </c>
      <c r="K14" s="1">
        <v>6</v>
      </c>
      <c r="L14" s="1">
        <v>46.7</v>
      </c>
      <c r="M14" s="15">
        <v>3.26</v>
      </c>
      <c r="N14" s="1">
        <v>3.5</v>
      </c>
      <c r="O14" s="1">
        <v>5.8</v>
      </c>
      <c r="P14" s="1">
        <v>51.9</v>
      </c>
      <c r="Q14" s="15">
        <v>2.16</v>
      </c>
    </row>
    <row r="15" spans="1:17" x14ac:dyDescent="0.25">
      <c r="A15" s="122">
        <v>13</v>
      </c>
      <c r="B15" s="1">
        <v>3.5</v>
      </c>
      <c r="C15" s="1">
        <v>6</v>
      </c>
      <c r="D15" s="1">
        <v>43.8</v>
      </c>
      <c r="E15" s="15">
        <v>4.25</v>
      </c>
      <c r="F15" s="1">
        <v>3.4</v>
      </c>
      <c r="G15" s="1">
        <v>6.3</v>
      </c>
      <c r="H15" s="1">
        <v>51.3</v>
      </c>
      <c r="I15" s="15">
        <v>2.98</v>
      </c>
      <c r="J15" s="1">
        <v>3.5</v>
      </c>
      <c r="K15" s="1">
        <v>5.8</v>
      </c>
      <c r="L15" s="1">
        <v>47.3</v>
      </c>
      <c r="M15" s="15">
        <v>2.57</v>
      </c>
      <c r="N15" s="1">
        <v>3.5</v>
      </c>
      <c r="O15" s="1">
        <v>6.1</v>
      </c>
      <c r="P15" s="1">
        <v>47</v>
      </c>
      <c r="Q15" s="15">
        <v>1.99</v>
      </c>
    </row>
    <row r="16" spans="1:17" x14ac:dyDescent="0.25">
      <c r="A16" s="122">
        <v>14</v>
      </c>
      <c r="B16" s="102">
        <v>3.5</v>
      </c>
      <c r="C16" s="102">
        <v>5.6</v>
      </c>
      <c r="D16" s="102">
        <v>45</v>
      </c>
      <c r="E16" s="30">
        <v>4.32</v>
      </c>
      <c r="F16" s="1">
        <v>3.4</v>
      </c>
      <c r="G16" s="1">
        <v>6.2</v>
      </c>
      <c r="H16" s="1">
        <v>50.9</v>
      </c>
      <c r="I16" s="15">
        <v>3.01</v>
      </c>
      <c r="J16" s="1">
        <v>3.5</v>
      </c>
      <c r="K16" s="1">
        <v>6.3</v>
      </c>
      <c r="L16" s="1">
        <v>48.5</v>
      </c>
      <c r="M16" s="15">
        <v>2.59</v>
      </c>
      <c r="N16" s="1">
        <v>3.4</v>
      </c>
      <c r="O16" s="1">
        <v>6.2</v>
      </c>
      <c r="P16" s="1">
        <v>49</v>
      </c>
      <c r="Q16" s="15">
        <v>2.19</v>
      </c>
    </row>
    <row r="17" spans="1:17" x14ac:dyDescent="0.25">
      <c r="A17" s="122">
        <v>15</v>
      </c>
      <c r="B17" s="1">
        <v>3.5</v>
      </c>
      <c r="C17" s="1">
        <v>6.2</v>
      </c>
      <c r="D17" s="1">
        <v>45.9</v>
      </c>
      <c r="E17" s="15">
        <v>4.42</v>
      </c>
      <c r="F17" s="1">
        <v>3.5</v>
      </c>
      <c r="G17" s="1">
        <v>5.9</v>
      </c>
      <c r="H17" s="1">
        <v>17.3</v>
      </c>
      <c r="I17" s="15">
        <v>3.72</v>
      </c>
      <c r="J17" s="1">
        <v>3.5</v>
      </c>
      <c r="K17" s="1">
        <v>6.2</v>
      </c>
      <c r="L17" s="1">
        <v>45.9</v>
      </c>
      <c r="M17" s="15">
        <v>2.84</v>
      </c>
      <c r="N17" s="1">
        <v>3.5</v>
      </c>
      <c r="O17" s="1">
        <v>6.1</v>
      </c>
      <c r="P17" s="1">
        <v>45.9</v>
      </c>
      <c r="Q17" s="15">
        <v>1.76</v>
      </c>
    </row>
    <row r="18" spans="1:17" x14ac:dyDescent="0.25">
      <c r="A18" s="122">
        <v>16</v>
      </c>
      <c r="B18" s="1">
        <v>3.5</v>
      </c>
      <c r="C18" s="1">
        <v>6.1</v>
      </c>
      <c r="D18" s="1">
        <v>46.7</v>
      </c>
      <c r="E18" s="15">
        <v>4.29</v>
      </c>
      <c r="F18" s="1">
        <v>3.5</v>
      </c>
      <c r="G18" s="1">
        <v>5.9</v>
      </c>
      <c r="H18" s="1">
        <v>21</v>
      </c>
      <c r="I18" s="15">
        <v>2.5099999999999998</v>
      </c>
      <c r="J18" s="1">
        <v>3.5</v>
      </c>
      <c r="K18" s="1">
        <v>6.1</v>
      </c>
      <c r="L18" s="1">
        <v>45.9</v>
      </c>
      <c r="M18" s="15">
        <v>2.64</v>
      </c>
      <c r="N18" s="1">
        <v>3.5</v>
      </c>
      <c r="O18" s="1">
        <v>5.9</v>
      </c>
      <c r="P18" s="1">
        <v>47.4</v>
      </c>
      <c r="Q18" s="15">
        <v>4.62</v>
      </c>
    </row>
    <row r="19" spans="1:17" x14ac:dyDescent="0.25">
      <c r="A19" s="122">
        <v>17</v>
      </c>
      <c r="B19" s="1">
        <v>3.5</v>
      </c>
      <c r="C19" s="1">
        <v>5.8</v>
      </c>
      <c r="D19" s="1">
        <v>47.4</v>
      </c>
      <c r="E19" s="15">
        <v>4.32</v>
      </c>
      <c r="F19" s="1">
        <v>3.5</v>
      </c>
      <c r="G19" s="1">
        <v>6.2</v>
      </c>
      <c r="H19" s="1">
        <v>26.3</v>
      </c>
      <c r="I19" s="15">
        <v>3.03</v>
      </c>
      <c r="J19" s="1">
        <v>3.5</v>
      </c>
      <c r="K19" s="1">
        <v>5.8</v>
      </c>
      <c r="L19" s="1">
        <v>45.1</v>
      </c>
      <c r="M19" s="15">
        <v>2.4700000000000002</v>
      </c>
      <c r="N19" s="1">
        <v>3.5</v>
      </c>
      <c r="O19" s="1">
        <v>6</v>
      </c>
      <c r="P19" s="1">
        <v>42.7</v>
      </c>
      <c r="Q19" s="15">
        <v>1.63</v>
      </c>
    </row>
    <row r="20" spans="1:17" x14ac:dyDescent="0.25">
      <c r="A20" s="122">
        <v>18</v>
      </c>
      <c r="B20" s="1">
        <v>3.5</v>
      </c>
      <c r="C20" s="1">
        <v>6.3</v>
      </c>
      <c r="D20" s="1">
        <v>47.9</v>
      </c>
      <c r="E20" s="15">
        <v>4.34</v>
      </c>
      <c r="F20" s="1">
        <v>3.5</v>
      </c>
      <c r="G20" s="1">
        <v>6</v>
      </c>
      <c r="H20" s="1">
        <v>30.2</v>
      </c>
      <c r="I20" s="15">
        <v>3.41</v>
      </c>
      <c r="J20" s="1">
        <v>3.5</v>
      </c>
      <c r="K20" s="1">
        <v>6.3</v>
      </c>
      <c r="L20" s="1">
        <v>45.3</v>
      </c>
      <c r="M20" s="15">
        <v>2.56</v>
      </c>
      <c r="N20" s="1">
        <v>3.4</v>
      </c>
      <c r="O20" s="1">
        <v>6.2</v>
      </c>
      <c r="P20" s="1">
        <v>47.8</v>
      </c>
      <c r="Q20" s="15">
        <v>2.1</v>
      </c>
    </row>
    <row r="21" spans="1:17" x14ac:dyDescent="0.25">
      <c r="A21" s="122">
        <v>19</v>
      </c>
      <c r="B21" s="1">
        <v>3.5</v>
      </c>
      <c r="C21" s="1">
        <v>6.1</v>
      </c>
      <c r="D21" s="1">
        <v>48.4</v>
      </c>
      <c r="E21" s="15">
        <v>4.28</v>
      </c>
      <c r="F21" s="1">
        <v>3.5</v>
      </c>
      <c r="G21" s="1">
        <v>5.7</v>
      </c>
      <c r="H21" s="1">
        <v>32.799999999999997</v>
      </c>
      <c r="I21" s="15">
        <v>3.95</v>
      </c>
      <c r="J21" s="1">
        <v>3.5</v>
      </c>
      <c r="K21" s="1">
        <v>6.1</v>
      </c>
      <c r="L21" s="1">
        <v>45.9</v>
      </c>
      <c r="M21" s="15">
        <v>2.61</v>
      </c>
      <c r="N21" s="1">
        <v>3.4</v>
      </c>
      <c r="O21" s="1">
        <v>6.1</v>
      </c>
      <c r="P21" s="1">
        <v>45.9</v>
      </c>
      <c r="Q21" s="15">
        <v>1.82</v>
      </c>
    </row>
    <row r="22" spans="1:17" x14ac:dyDescent="0.25">
      <c r="A22" s="122">
        <v>20</v>
      </c>
      <c r="B22" s="1">
        <v>3.5</v>
      </c>
      <c r="C22" s="1">
        <v>5.8</v>
      </c>
      <c r="D22" s="1">
        <v>48.8</v>
      </c>
      <c r="E22" s="15">
        <v>4.29</v>
      </c>
      <c r="F22" s="1">
        <v>3.5</v>
      </c>
      <c r="G22" s="1">
        <v>6.2</v>
      </c>
      <c r="H22" s="1">
        <v>34.4</v>
      </c>
      <c r="I22" s="15">
        <v>4.1399999999999997</v>
      </c>
      <c r="J22" s="1">
        <v>3.5</v>
      </c>
      <c r="K22" s="1">
        <v>6.1</v>
      </c>
      <c r="L22" s="1">
        <v>45.3</v>
      </c>
      <c r="M22" s="15">
        <v>2.41</v>
      </c>
      <c r="N22" s="1">
        <v>3.5</v>
      </c>
      <c r="O22" s="1">
        <v>5.9</v>
      </c>
      <c r="P22" s="1">
        <v>47.5</v>
      </c>
      <c r="Q22" s="15">
        <v>2.68</v>
      </c>
    </row>
    <row r="23" spans="1:17" x14ac:dyDescent="0.25">
      <c r="A23" s="122">
        <v>21</v>
      </c>
      <c r="B23" s="1">
        <v>3.5</v>
      </c>
      <c r="C23" s="1">
        <v>6.2</v>
      </c>
      <c r="D23" s="1">
        <v>49.1</v>
      </c>
      <c r="E23" s="15">
        <v>4.4000000000000004</v>
      </c>
      <c r="F23" s="1">
        <v>3.5</v>
      </c>
      <c r="G23" s="1">
        <v>6.1</v>
      </c>
      <c r="H23" s="1">
        <v>35.6</v>
      </c>
      <c r="I23" s="15">
        <v>4.03</v>
      </c>
      <c r="J23" s="1">
        <v>3.5</v>
      </c>
      <c r="K23" s="1">
        <v>5.8</v>
      </c>
      <c r="L23" s="1">
        <v>46.8</v>
      </c>
      <c r="M23" s="15">
        <v>2.76</v>
      </c>
      <c r="N23" s="1">
        <v>3.5</v>
      </c>
      <c r="O23" s="1">
        <v>5.7</v>
      </c>
      <c r="P23" s="1">
        <v>49</v>
      </c>
      <c r="Q23" s="15">
        <v>2.16</v>
      </c>
    </row>
    <row r="24" spans="1:17" x14ac:dyDescent="0.25">
      <c r="A24" s="122">
        <v>22</v>
      </c>
      <c r="B24" s="1">
        <v>3.5</v>
      </c>
      <c r="C24" s="1">
        <v>6.1</v>
      </c>
      <c r="D24" s="1">
        <v>49.2</v>
      </c>
      <c r="E24" s="15">
        <v>4.82</v>
      </c>
      <c r="F24" s="1">
        <v>3.5</v>
      </c>
      <c r="G24" s="1">
        <v>5.8</v>
      </c>
      <c r="H24" s="1">
        <v>36.6</v>
      </c>
      <c r="I24" s="15">
        <v>3.89</v>
      </c>
      <c r="J24" s="1">
        <v>3.4</v>
      </c>
      <c r="K24" s="1">
        <v>6.3</v>
      </c>
      <c r="L24" s="1">
        <v>46</v>
      </c>
      <c r="M24" s="15">
        <v>2.81</v>
      </c>
      <c r="N24" s="1">
        <v>3.4</v>
      </c>
      <c r="O24" s="1">
        <v>6.2</v>
      </c>
      <c r="P24" s="1">
        <v>47.4</v>
      </c>
      <c r="Q24" s="15">
        <v>1.9</v>
      </c>
    </row>
    <row r="25" spans="1:17" x14ac:dyDescent="0.25">
      <c r="A25" s="122">
        <v>23</v>
      </c>
      <c r="B25" s="1">
        <v>3.5</v>
      </c>
      <c r="C25" s="1">
        <v>5.9</v>
      </c>
      <c r="D25" s="1">
        <v>49.3</v>
      </c>
      <c r="E25" s="15">
        <v>4.74</v>
      </c>
      <c r="F25" s="1">
        <v>3.5</v>
      </c>
      <c r="G25" s="1">
        <v>6.2</v>
      </c>
      <c r="H25" s="1">
        <v>37.6</v>
      </c>
      <c r="I25" s="15">
        <v>3.89</v>
      </c>
      <c r="J25" s="1">
        <v>3.4</v>
      </c>
      <c r="K25" s="1">
        <v>6.2</v>
      </c>
      <c r="L25" s="1">
        <v>46.9</v>
      </c>
      <c r="M25" s="15">
        <v>2.87</v>
      </c>
      <c r="N25" s="1">
        <v>3.4</v>
      </c>
      <c r="O25" s="1">
        <v>6.2</v>
      </c>
      <c r="P25" s="1">
        <v>46.6</v>
      </c>
      <c r="Q25" s="15">
        <v>1.96</v>
      </c>
    </row>
    <row r="26" spans="1:17" x14ac:dyDescent="0.25">
      <c r="A26" s="122">
        <v>24</v>
      </c>
      <c r="B26" s="1">
        <v>3.5</v>
      </c>
      <c r="C26" s="1">
        <v>6.2</v>
      </c>
      <c r="D26" s="1">
        <v>49.5</v>
      </c>
      <c r="E26" s="15">
        <v>4.8</v>
      </c>
      <c r="F26" s="1">
        <v>3.5</v>
      </c>
      <c r="G26" s="1">
        <v>6.2</v>
      </c>
      <c r="H26" s="1">
        <v>38.5</v>
      </c>
      <c r="I26" s="15">
        <v>3.74</v>
      </c>
      <c r="J26" s="1">
        <v>3.4</v>
      </c>
      <c r="K26" s="1">
        <v>6.1</v>
      </c>
      <c r="L26" s="1">
        <v>46.2</v>
      </c>
      <c r="M26" s="15">
        <v>2.79</v>
      </c>
      <c r="N26" s="1">
        <v>3.4</v>
      </c>
      <c r="O26" s="1">
        <v>5.9</v>
      </c>
      <c r="P26" s="1">
        <v>46.2</v>
      </c>
      <c r="Q26" s="15">
        <v>4.43</v>
      </c>
    </row>
    <row r="27" spans="1:17" x14ac:dyDescent="0.25">
      <c r="A27" s="122">
        <v>25</v>
      </c>
      <c r="B27" s="1">
        <v>3.5</v>
      </c>
      <c r="C27" s="1">
        <v>6</v>
      </c>
      <c r="D27" s="1">
        <v>49.9</v>
      </c>
      <c r="E27" s="15">
        <v>4.59</v>
      </c>
      <c r="F27" s="1">
        <v>3.5</v>
      </c>
      <c r="G27" s="1">
        <v>5.9</v>
      </c>
      <c r="H27" s="1">
        <v>39.299999999999997</v>
      </c>
      <c r="I27" s="15">
        <v>3.78</v>
      </c>
      <c r="J27" s="1">
        <v>3.5</v>
      </c>
      <c r="K27" s="1">
        <v>5.7</v>
      </c>
      <c r="L27" s="1">
        <v>47.2</v>
      </c>
      <c r="M27" s="15">
        <v>3.94</v>
      </c>
      <c r="N27" s="1">
        <v>3.5</v>
      </c>
      <c r="O27" s="1">
        <v>5.7</v>
      </c>
      <c r="P27" s="1">
        <v>47.1</v>
      </c>
      <c r="Q27" s="15">
        <v>1.87</v>
      </c>
    </row>
    <row r="28" spans="1:17" x14ac:dyDescent="0.25">
      <c r="A28" s="122">
        <v>26</v>
      </c>
      <c r="B28" s="1">
        <v>3.5</v>
      </c>
      <c r="C28" s="1">
        <v>5.8</v>
      </c>
      <c r="D28" s="1">
        <v>50.2</v>
      </c>
      <c r="E28" s="15">
        <v>4.74</v>
      </c>
      <c r="F28" s="1">
        <v>3.5</v>
      </c>
      <c r="G28" s="1">
        <v>5.7</v>
      </c>
      <c r="H28" s="1">
        <v>40</v>
      </c>
      <c r="I28" s="15">
        <v>3.74</v>
      </c>
      <c r="J28" s="1">
        <v>3.4</v>
      </c>
      <c r="K28" s="1">
        <v>6.3</v>
      </c>
      <c r="L28" s="1">
        <v>46.7</v>
      </c>
      <c r="M28" s="15">
        <v>2.78</v>
      </c>
      <c r="N28" s="1">
        <v>3.4</v>
      </c>
      <c r="O28" s="1">
        <v>6.2</v>
      </c>
      <c r="P28" s="1">
        <v>48.2</v>
      </c>
      <c r="Q28" s="15">
        <v>4.5599999999999996</v>
      </c>
    </row>
    <row r="29" spans="1:17" x14ac:dyDescent="0.25">
      <c r="A29" s="122">
        <v>27</v>
      </c>
      <c r="B29" s="1">
        <v>3.5</v>
      </c>
      <c r="C29" s="1">
        <v>6.3</v>
      </c>
      <c r="D29" s="1">
        <v>50.8</v>
      </c>
      <c r="E29" s="15">
        <v>4.74</v>
      </c>
      <c r="F29" s="1">
        <v>3.5</v>
      </c>
      <c r="G29" s="1">
        <v>6.2</v>
      </c>
      <c r="H29" s="1">
        <v>40.799999999999997</v>
      </c>
      <c r="I29" s="15">
        <v>3.69</v>
      </c>
      <c r="J29" s="1">
        <v>3.4</v>
      </c>
      <c r="K29" s="1">
        <v>6.2</v>
      </c>
      <c r="L29" s="1">
        <v>46.3</v>
      </c>
      <c r="M29" s="15">
        <v>2.44</v>
      </c>
      <c r="N29" s="1">
        <v>3.4</v>
      </c>
      <c r="O29" s="1">
        <v>6.2</v>
      </c>
      <c r="P29" s="1">
        <v>48.1</v>
      </c>
      <c r="Q29" s="15">
        <v>2.5499999999999998</v>
      </c>
    </row>
    <row r="30" spans="1:17" x14ac:dyDescent="0.25">
      <c r="A30" s="122">
        <v>28</v>
      </c>
      <c r="B30" s="1">
        <v>3.5</v>
      </c>
      <c r="C30" s="1">
        <v>6.1</v>
      </c>
      <c r="D30" s="1">
        <v>51.1</v>
      </c>
      <c r="E30" s="15">
        <v>4.66</v>
      </c>
      <c r="F30" s="1">
        <v>3.5</v>
      </c>
      <c r="G30" s="1">
        <v>6</v>
      </c>
      <c r="H30" s="1">
        <v>41.6</v>
      </c>
      <c r="I30" s="15">
        <v>3.72</v>
      </c>
      <c r="J30" s="1">
        <v>3.4</v>
      </c>
      <c r="K30" s="1">
        <v>6</v>
      </c>
      <c r="L30" s="1">
        <v>46.6</v>
      </c>
      <c r="M30" s="15">
        <v>2.67</v>
      </c>
      <c r="N30" s="1">
        <v>3.4</v>
      </c>
      <c r="O30" s="1">
        <v>6</v>
      </c>
      <c r="P30" s="1">
        <v>46.1</v>
      </c>
      <c r="Q30" s="15">
        <v>1.76</v>
      </c>
    </row>
    <row r="31" spans="1:17" x14ac:dyDescent="0.25">
      <c r="A31" s="122">
        <v>29</v>
      </c>
      <c r="B31" s="1">
        <v>3.5</v>
      </c>
      <c r="C31" s="1">
        <v>5.9</v>
      </c>
      <c r="D31" s="1">
        <v>51.5</v>
      </c>
      <c r="E31" s="15">
        <v>4.67</v>
      </c>
      <c r="F31" s="102">
        <v>3.5</v>
      </c>
      <c r="G31" s="102">
        <v>5.7</v>
      </c>
      <c r="H31" s="102">
        <v>42.7</v>
      </c>
      <c r="I31" s="30">
        <v>3.81</v>
      </c>
      <c r="J31" s="1">
        <v>3.5</v>
      </c>
      <c r="K31" s="1">
        <v>5.8</v>
      </c>
      <c r="L31" s="1">
        <v>47.1</v>
      </c>
      <c r="M31" s="15">
        <v>4.25</v>
      </c>
      <c r="N31" s="1">
        <v>3.4</v>
      </c>
      <c r="O31" s="1">
        <v>6.3</v>
      </c>
      <c r="P31" s="1">
        <v>47.9</v>
      </c>
      <c r="Q31" s="15">
        <v>4.4800000000000004</v>
      </c>
    </row>
    <row r="32" spans="1:17" x14ac:dyDescent="0.25">
      <c r="A32" s="122">
        <v>30</v>
      </c>
      <c r="B32" s="1">
        <v>3.5</v>
      </c>
      <c r="C32" s="1">
        <v>6.1</v>
      </c>
      <c r="D32" s="1">
        <v>51.9</v>
      </c>
      <c r="E32" s="15">
        <v>4.82</v>
      </c>
      <c r="F32" s="1">
        <v>3.5</v>
      </c>
      <c r="G32" s="1">
        <v>6.3</v>
      </c>
      <c r="H32" s="1">
        <v>44</v>
      </c>
      <c r="I32" s="15">
        <v>3.94</v>
      </c>
      <c r="J32" s="1">
        <v>3.4</v>
      </c>
      <c r="K32" s="1">
        <v>6.3</v>
      </c>
      <c r="L32" s="1">
        <v>47.3</v>
      </c>
      <c r="M32" s="15">
        <v>3.1</v>
      </c>
      <c r="N32" s="1">
        <v>3.4</v>
      </c>
      <c r="O32" s="1">
        <v>6.2</v>
      </c>
      <c r="P32" s="1">
        <v>43.5</v>
      </c>
      <c r="Q32" s="15">
        <v>1.65</v>
      </c>
    </row>
    <row r="33" spans="1:17" x14ac:dyDescent="0.25">
      <c r="A33" s="122">
        <v>31</v>
      </c>
      <c r="B33" s="1">
        <v>3.5</v>
      </c>
      <c r="C33" s="1">
        <v>6.2</v>
      </c>
      <c r="D33" s="1">
        <v>52.1</v>
      </c>
      <c r="E33" s="15">
        <v>4.68</v>
      </c>
      <c r="F33" s="1">
        <v>3.5</v>
      </c>
      <c r="G33" s="1">
        <v>6.1</v>
      </c>
      <c r="H33" s="1">
        <v>45.1</v>
      </c>
      <c r="I33" s="15">
        <v>4</v>
      </c>
      <c r="J33" s="1">
        <v>3.4</v>
      </c>
      <c r="K33" s="1">
        <v>6.2</v>
      </c>
      <c r="L33" s="1">
        <v>46.9</v>
      </c>
      <c r="M33" s="15">
        <v>2.4700000000000002</v>
      </c>
      <c r="N33" s="1">
        <v>3.4</v>
      </c>
      <c r="O33" s="1">
        <v>6.1</v>
      </c>
      <c r="P33" s="1">
        <v>48.5</v>
      </c>
      <c r="Q33" s="15">
        <v>2.0699999999999998</v>
      </c>
    </row>
    <row r="34" spans="1:17" x14ac:dyDescent="0.25">
      <c r="A34" s="122">
        <v>32</v>
      </c>
      <c r="B34" s="1">
        <v>3.5</v>
      </c>
      <c r="C34" s="1">
        <v>6</v>
      </c>
      <c r="D34" s="1">
        <v>52.3</v>
      </c>
      <c r="E34" s="15">
        <v>4.6500000000000004</v>
      </c>
      <c r="F34" s="1">
        <v>3.5</v>
      </c>
      <c r="G34" s="1">
        <v>5.8</v>
      </c>
      <c r="H34" s="1">
        <v>46.4</v>
      </c>
      <c r="I34" s="15">
        <v>3.98</v>
      </c>
      <c r="J34" s="1">
        <v>3.4</v>
      </c>
      <c r="K34" s="1">
        <v>6</v>
      </c>
      <c r="L34" s="1">
        <v>46.7</v>
      </c>
      <c r="M34" s="15">
        <v>2.39</v>
      </c>
      <c r="N34" s="1">
        <v>3.4</v>
      </c>
      <c r="O34" s="1">
        <v>5.8</v>
      </c>
      <c r="P34" s="1">
        <v>46.6</v>
      </c>
      <c r="Q34" s="15">
        <v>4.42</v>
      </c>
    </row>
    <row r="35" spans="1:17" x14ac:dyDescent="0.25">
      <c r="A35" s="122">
        <v>33</v>
      </c>
      <c r="B35" s="1">
        <v>3.5</v>
      </c>
      <c r="C35" s="1">
        <v>5.9</v>
      </c>
      <c r="D35" s="1">
        <v>52.7</v>
      </c>
      <c r="E35" s="15">
        <v>4.63</v>
      </c>
      <c r="F35" s="1">
        <v>3.5</v>
      </c>
      <c r="G35" s="1">
        <v>6.2</v>
      </c>
      <c r="H35" s="1">
        <v>47.2</v>
      </c>
      <c r="I35" s="15">
        <v>4.0199999999999996</v>
      </c>
      <c r="J35" s="1">
        <v>3.5</v>
      </c>
      <c r="K35" s="1">
        <v>5.2</v>
      </c>
      <c r="L35" s="1">
        <v>46.7</v>
      </c>
      <c r="M35" s="15">
        <v>2.2400000000000002</v>
      </c>
      <c r="N35" s="1">
        <v>3.4</v>
      </c>
      <c r="O35" s="1">
        <v>6.3</v>
      </c>
      <c r="P35" s="1">
        <v>47.7</v>
      </c>
      <c r="Q35" s="15">
        <v>1.8</v>
      </c>
    </row>
    <row r="36" spans="1:17" x14ac:dyDescent="0.25">
      <c r="A36" s="122">
        <v>34</v>
      </c>
      <c r="B36" s="1">
        <v>3.5</v>
      </c>
      <c r="C36" s="1">
        <v>6.2</v>
      </c>
      <c r="D36" s="1">
        <v>52.9</v>
      </c>
      <c r="E36" s="15">
        <v>4.37</v>
      </c>
      <c r="F36" s="1">
        <v>3.5</v>
      </c>
      <c r="G36" s="1">
        <v>6.2</v>
      </c>
      <c r="H36" s="1">
        <v>47.6</v>
      </c>
      <c r="I36" s="15">
        <v>4.1399999999999997</v>
      </c>
      <c r="J36" s="1">
        <v>3.4</v>
      </c>
      <c r="K36" s="1">
        <v>6.3</v>
      </c>
      <c r="L36" s="1">
        <v>46.6</v>
      </c>
      <c r="M36" s="15">
        <v>2.27</v>
      </c>
      <c r="N36" s="1">
        <v>3.4</v>
      </c>
      <c r="O36" s="1">
        <v>6.2</v>
      </c>
      <c r="P36" s="1">
        <v>51</v>
      </c>
      <c r="Q36" s="15">
        <v>3.29</v>
      </c>
    </row>
    <row r="37" spans="1:17" x14ac:dyDescent="0.25">
      <c r="A37" s="122">
        <v>35</v>
      </c>
      <c r="B37" s="1">
        <v>3.5</v>
      </c>
      <c r="C37" s="1">
        <v>6</v>
      </c>
      <c r="D37" s="1">
        <v>53</v>
      </c>
      <c r="E37" s="15">
        <v>4.7300000000000004</v>
      </c>
      <c r="F37" s="1">
        <v>3.5</v>
      </c>
      <c r="G37" s="1">
        <v>6</v>
      </c>
      <c r="H37" s="1">
        <v>48.1</v>
      </c>
      <c r="I37" s="15">
        <v>4.09</v>
      </c>
      <c r="J37" s="1">
        <v>3.4</v>
      </c>
      <c r="K37" s="1">
        <v>6.2</v>
      </c>
      <c r="L37" s="1">
        <v>46.7</v>
      </c>
      <c r="M37" s="15">
        <v>2.2200000000000002</v>
      </c>
      <c r="N37" s="1">
        <v>3.4</v>
      </c>
      <c r="O37" s="1">
        <v>6.1</v>
      </c>
      <c r="P37" s="1">
        <v>47.6</v>
      </c>
      <c r="Q37" s="15">
        <v>1.95</v>
      </c>
    </row>
    <row r="38" spans="1:17" x14ac:dyDescent="0.25">
      <c r="A38" s="122">
        <v>36</v>
      </c>
      <c r="B38" s="1">
        <v>3.5</v>
      </c>
      <c r="C38" s="1">
        <v>5.7</v>
      </c>
      <c r="D38" s="1">
        <v>53.2</v>
      </c>
      <c r="E38" s="15">
        <v>4.45</v>
      </c>
      <c r="F38" s="1">
        <v>3.4</v>
      </c>
      <c r="G38" s="1">
        <v>6.3</v>
      </c>
      <c r="H38" s="1">
        <v>47.4</v>
      </c>
      <c r="I38" s="15">
        <v>2.78</v>
      </c>
      <c r="J38" s="1">
        <v>3.4</v>
      </c>
      <c r="K38" s="1">
        <v>6</v>
      </c>
      <c r="L38" s="1">
        <v>47.1</v>
      </c>
      <c r="M38" s="15">
        <v>2.61</v>
      </c>
      <c r="N38" s="1">
        <v>3.4</v>
      </c>
      <c r="O38" s="1">
        <v>5.8</v>
      </c>
      <c r="P38" s="1">
        <v>47.7</v>
      </c>
      <c r="Q38" s="15">
        <v>4.5199999999999996</v>
      </c>
    </row>
    <row r="39" spans="1:17" x14ac:dyDescent="0.25">
      <c r="A39" s="122">
        <v>37</v>
      </c>
      <c r="B39" s="1">
        <v>3.5</v>
      </c>
      <c r="C39" s="1">
        <v>6.1</v>
      </c>
      <c r="D39" s="1">
        <v>38</v>
      </c>
      <c r="E39" s="15">
        <v>2.95</v>
      </c>
      <c r="F39" s="1">
        <v>3.4</v>
      </c>
      <c r="G39" s="1">
        <v>6.2</v>
      </c>
      <c r="H39" s="1">
        <v>47.7</v>
      </c>
      <c r="I39" s="15">
        <v>2.79</v>
      </c>
      <c r="J39" s="1">
        <v>3.4</v>
      </c>
      <c r="K39" s="1">
        <v>5.7</v>
      </c>
      <c r="L39" s="1">
        <v>47.5</v>
      </c>
      <c r="M39" s="15">
        <v>3.93</v>
      </c>
      <c r="N39" s="1">
        <v>3.4</v>
      </c>
      <c r="O39" s="1">
        <v>6.2</v>
      </c>
      <c r="P39" s="1">
        <v>48.2</v>
      </c>
      <c r="Q39" s="15">
        <v>2.78</v>
      </c>
    </row>
    <row r="40" spans="1:17" x14ac:dyDescent="0.25">
      <c r="A40" s="122">
        <v>38</v>
      </c>
      <c r="B40" s="1">
        <v>3.5</v>
      </c>
      <c r="C40" s="1">
        <v>5.8</v>
      </c>
      <c r="D40" s="1">
        <v>50.3</v>
      </c>
      <c r="E40" s="15">
        <v>3.38</v>
      </c>
      <c r="F40" s="1">
        <v>3.4</v>
      </c>
      <c r="G40" s="1">
        <v>6</v>
      </c>
      <c r="H40" s="1">
        <v>48</v>
      </c>
      <c r="I40" s="15">
        <v>2.72</v>
      </c>
      <c r="J40" s="1">
        <v>3.4</v>
      </c>
      <c r="K40" s="1">
        <v>6.2</v>
      </c>
      <c r="L40" s="1">
        <v>47.7</v>
      </c>
      <c r="M40" s="15">
        <v>3.63</v>
      </c>
      <c r="N40" s="1">
        <v>3.4</v>
      </c>
      <c r="O40" s="1">
        <v>6.2</v>
      </c>
      <c r="P40" s="1">
        <v>46.4</v>
      </c>
      <c r="Q40" s="15">
        <v>1.73</v>
      </c>
    </row>
    <row r="41" spans="1:17" x14ac:dyDescent="0.25">
      <c r="A41" s="122">
        <v>39</v>
      </c>
      <c r="B41" s="1">
        <v>3.5</v>
      </c>
      <c r="C41" s="1">
        <v>6.2</v>
      </c>
      <c r="D41" s="1">
        <v>53.4</v>
      </c>
      <c r="E41" s="15">
        <v>2.67</v>
      </c>
      <c r="F41" s="1">
        <v>3.4</v>
      </c>
      <c r="G41" s="1">
        <v>5.7</v>
      </c>
      <c r="H41" s="1">
        <v>48.1</v>
      </c>
      <c r="I41" s="15">
        <v>2.78</v>
      </c>
      <c r="J41" s="1">
        <v>3.4</v>
      </c>
      <c r="K41" s="1">
        <v>6.2</v>
      </c>
      <c r="L41" s="1">
        <v>47.7</v>
      </c>
      <c r="M41" s="15">
        <v>2.69</v>
      </c>
      <c r="N41" s="1">
        <v>3.4</v>
      </c>
      <c r="O41" s="1">
        <v>6.1</v>
      </c>
      <c r="P41" s="1">
        <v>48</v>
      </c>
      <c r="Q41" s="15">
        <v>4.4000000000000004</v>
      </c>
    </row>
    <row r="42" spans="1:17" x14ac:dyDescent="0.25">
      <c r="A42" s="122">
        <v>40</v>
      </c>
      <c r="B42" s="1">
        <v>3.5</v>
      </c>
      <c r="C42" s="1">
        <v>6.2</v>
      </c>
      <c r="D42" s="1">
        <v>53.9</v>
      </c>
      <c r="E42" s="15">
        <v>3.07</v>
      </c>
      <c r="F42" s="1">
        <v>3.4</v>
      </c>
      <c r="G42" s="1">
        <v>6.3</v>
      </c>
      <c r="H42" s="1">
        <v>48.4</v>
      </c>
      <c r="I42" s="15">
        <v>2.78</v>
      </c>
      <c r="J42" s="1">
        <v>3.4</v>
      </c>
      <c r="K42" s="1">
        <v>6</v>
      </c>
      <c r="L42" s="1">
        <v>47.6</v>
      </c>
      <c r="M42" s="15">
        <v>2.21</v>
      </c>
      <c r="N42" s="1">
        <v>3.4</v>
      </c>
      <c r="O42" s="1">
        <v>5.8</v>
      </c>
      <c r="P42" s="1">
        <v>48.1</v>
      </c>
      <c r="Q42" s="15">
        <v>1.96</v>
      </c>
    </row>
    <row r="43" spans="1:17" x14ac:dyDescent="0.25">
      <c r="A43" s="122">
        <v>41</v>
      </c>
      <c r="B43" s="1">
        <v>3.5</v>
      </c>
      <c r="C43" s="1">
        <v>6.1</v>
      </c>
      <c r="D43" s="1">
        <v>53.1</v>
      </c>
      <c r="E43" s="15">
        <v>3.06</v>
      </c>
      <c r="F43" s="1">
        <v>3.5</v>
      </c>
      <c r="G43" s="1">
        <v>6.1</v>
      </c>
      <c r="H43" s="1">
        <v>34.9</v>
      </c>
      <c r="I43" s="15">
        <v>2.94</v>
      </c>
      <c r="J43" s="1">
        <v>3.4</v>
      </c>
      <c r="K43" s="1">
        <v>5.7</v>
      </c>
      <c r="L43" s="1">
        <v>47.7</v>
      </c>
      <c r="M43" s="15">
        <v>2.38</v>
      </c>
      <c r="N43" s="1">
        <v>3.4</v>
      </c>
      <c r="O43" s="1">
        <v>6.3</v>
      </c>
      <c r="P43" s="1">
        <v>47.3</v>
      </c>
      <c r="Q43" s="15">
        <v>2.0099999999999998</v>
      </c>
    </row>
    <row r="44" spans="1:17" x14ac:dyDescent="0.25">
      <c r="A44" s="122">
        <v>42</v>
      </c>
      <c r="B44" s="1">
        <v>3.5</v>
      </c>
      <c r="C44" s="1">
        <v>5.8</v>
      </c>
      <c r="D44" s="1">
        <v>52.5</v>
      </c>
      <c r="E44" s="15">
        <v>2.96</v>
      </c>
      <c r="F44" s="1">
        <v>3.5</v>
      </c>
      <c r="G44" s="1">
        <v>5.8</v>
      </c>
      <c r="H44" s="1">
        <v>46</v>
      </c>
      <c r="I44" s="15">
        <v>3.67</v>
      </c>
      <c r="J44" s="1">
        <v>3.4</v>
      </c>
      <c r="K44" s="1">
        <v>6.3</v>
      </c>
      <c r="L44" s="1">
        <v>47.3</v>
      </c>
      <c r="M44" s="15">
        <v>2.36</v>
      </c>
      <c r="N44" s="1">
        <v>3.4</v>
      </c>
      <c r="O44" s="1">
        <v>6.2</v>
      </c>
      <c r="P44" s="1">
        <v>46.3</v>
      </c>
      <c r="Q44" s="15">
        <v>2.19</v>
      </c>
    </row>
    <row r="45" spans="1:17" x14ac:dyDescent="0.25">
      <c r="A45" s="122">
        <v>43</v>
      </c>
      <c r="B45" s="1">
        <v>3.5</v>
      </c>
      <c r="C45" s="1">
        <v>6.3</v>
      </c>
      <c r="D45" s="1">
        <v>52.6</v>
      </c>
      <c r="E45" s="15">
        <v>2.9</v>
      </c>
      <c r="F45" s="1">
        <v>3.5</v>
      </c>
      <c r="G45" s="1">
        <v>6.3</v>
      </c>
      <c r="H45" s="1">
        <v>48.7</v>
      </c>
      <c r="I45" s="15">
        <v>3.89</v>
      </c>
      <c r="J45" s="1">
        <v>3.4</v>
      </c>
      <c r="K45" s="1">
        <v>6.2</v>
      </c>
      <c r="L45" s="1">
        <v>47.5</v>
      </c>
      <c r="M45" s="15">
        <v>2.13</v>
      </c>
      <c r="N45" s="1">
        <v>3.4</v>
      </c>
      <c r="O45" s="1">
        <v>6.1</v>
      </c>
      <c r="P45" s="1">
        <v>48.1</v>
      </c>
      <c r="Q45" s="15">
        <v>2.41</v>
      </c>
    </row>
    <row r="46" spans="1:17" x14ac:dyDescent="0.25">
      <c r="A46" s="122">
        <v>44</v>
      </c>
      <c r="B46" s="1">
        <v>3.5</v>
      </c>
      <c r="C46" s="1">
        <v>6.2</v>
      </c>
      <c r="D46" s="1">
        <v>52.7</v>
      </c>
      <c r="E46" s="15">
        <v>2.98</v>
      </c>
      <c r="F46" s="1">
        <v>3.5</v>
      </c>
      <c r="G46" s="1">
        <v>6.2</v>
      </c>
      <c r="H46" s="1">
        <v>48.8</v>
      </c>
      <c r="I46" s="15">
        <v>0.6</v>
      </c>
      <c r="J46" s="1">
        <v>3.4</v>
      </c>
      <c r="K46" s="1">
        <v>6</v>
      </c>
      <c r="L46" s="1">
        <v>47.4</v>
      </c>
      <c r="M46" s="15">
        <v>2.2799999999999998</v>
      </c>
      <c r="N46" s="1">
        <v>3.4</v>
      </c>
      <c r="O46" s="1">
        <v>5.8</v>
      </c>
      <c r="P46" s="1">
        <v>46.4</v>
      </c>
      <c r="Q46" s="15">
        <v>1.9</v>
      </c>
    </row>
    <row r="47" spans="1:17" x14ac:dyDescent="0.25">
      <c r="A47" s="122">
        <v>45</v>
      </c>
      <c r="B47" s="1">
        <v>3.5</v>
      </c>
      <c r="C47" s="1">
        <v>6.1</v>
      </c>
      <c r="D47" s="1">
        <v>51.6</v>
      </c>
      <c r="E47" s="15">
        <v>2.64</v>
      </c>
      <c r="F47" s="1">
        <v>3.5</v>
      </c>
      <c r="G47" s="1">
        <v>6.1</v>
      </c>
      <c r="H47" s="1">
        <v>49</v>
      </c>
      <c r="I47" s="15">
        <v>3.78</v>
      </c>
      <c r="J47" s="1">
        <v>3.4</v>
      </c>
      <c r="K47" s="1">
        <v>5.7</v>
      </c>
      <c r="L47" s="1">
        <v>47.5</v>
      </c>
      <c r="M47" s="15">
        <v>2.38</v>
      </c>
      <c r="N47" s="1">
        <v>3.4</v>
      </c>
      <c r="O47" s="1">
        <v>6.3</v>
      </c>
      <c r="P47" s="1">
        <v>48.5</v>
      </c>
      <c r="Q47" s="15">
        <v>4.07</v>
      </c>
    </row>
    <row r="48" spans="1:17" x14ac:dyDescent="0.25">
      <c r="A48" s="122">
        <v>46</v>
      </c>
      <c r="B48" s="1">
        <v>3.5</v>
      </c>
      <c r="C48" s="1">
        <v>5.8</v>
      </c>
      <c r="D48" s="1">
        <v>52.5</v>
      </c>
      <c r="E48" s="15">
        <v>2.99</v>
      </c>
      <c r="F48" s="1">
        <v>3.5</v>
      </c>
      <c r="G48" s="1">
        <v>5.6</v>
      </c>
      <c r="H48" s="1">
        <v>49.7</v>
      </c>
      <c r="I48" s="15">
        <v>3.89</v>
      </c>
      <c r="J48" s="1">
        <v>3.4</v>
      </c>
      <c r="K48" s="1">
        <v>6.3</v>
      </c>
      <c r="L48" s="1">
        <v>47.5</v>
      </c>
      <c r="M48" s="15">
        <v>2.16</v>
      </c>
      <c r="N48" s="1">
        <v>3.4</v>
      </c>
      <c r="O48" s="1">
        <v>6.2</v>
      </c>
      <c r="P48" s="1">
        <v>48.9</v>
      </c>
      <c r="Q48" s="15">
        <v>2.11</v>
      </c>
    </row>
    <row r="49" spans="1:17" x14ac:dyDescent="0.25">
      <c r="A49" s="122">
        <v>47</v>
      </c>
      <c r="B49" s="1">
        <v>3.5</v>
      </c>
      <c r="C49" s="1">
        <v>6.2</v>
      </c>
      <c r="D49" s="1">
        <v>52.6</v>
      </c>
      <c r="E49" s="15">
        <v>3.04</v>
      </c>
      <c r="F49" s="1">
        <v>3.5</v>
      </c>
      <c r="G49" s="1">
        <v>6.3</v>
      </c>
      <c r="H49" s="1">
        <v>49.1</v>
      </c>
      <c r="I49" s="15">
        <v>3.24</v>
      </c>
      <c r="J49" s="1">
        <v>3.4</v>
      </c>
      <c r="K49" s="1">
        <v>6.2</v>
      </c>
      <c r="L49" s="1">
        <v>47.6</v>
      </c>
      <c r="M49" s="15">
        <v>2.0499999999999998</v>
      </c>
      <c r="N49" s="1">
        <v>3.4</v>
      </c>
      <c r="O49" s="1">
        <v>6.1</v>
      </c>
      <c r="P49" s="1">
        <v>47.5</v>
      </c>
      <c r="Q49" s="15">
        <v>2.0699999999999998</v>
      </c>
    </row>
    <row r="50" spans="1:17" x14ac:dyDescent="0.25">
      <c r="A50" s="122">
        <v>48</v>
      </c>
      <c r="B50" s="1">
        <v>3.5</v>
      </c>
      <c r="C50" s="1">
        <v>6.1</v>
      </c>
      <c r="D50" s="1">
        <v>52.6</v>
      </c>
      <c r="E50" s="15">
        <v>2.98</v>
      </c>
      <c r="F50" s="1">
        <v>3.5</v>
      </c>
      <c r="G50" s="1">
        <v>6.2</v>
      </c>
      <c r="H50" s="1">
        <v>49.1</v>
      </c>
      <c r="I50" s="15">
        <v>3.07</v>
      </c>
      <c r="J50" s="1">
        <v>3.4</v>
      </c>
      <c r="K50" s="1">
        <v>6</v>
      </c>
      <c r="L50" s="1">
        <v>47.6</v>
      </c>
      <c r="M50" s="15">
        <v>2.2799999999999998</v>
      </c>
      <c r="N50" s="1">
        <v>3.4</v>
      </c>
      <c r="O50" s="1">
        <v>5.9</v>
      </c>
      <c r="P50" s="1">
        <v>47.8</v>
      </c>
      <c r="Q50" s="15">
        <v>2.02</v>
      </c>
    </row>
    <row r="51" spans="1:17" x14ac:dyDescent="0.25">
      <c r="A51" s="122">
        <v>49</v>
      </c>
      <c r="B51" s="1">
        <v>3.5</v>
      </c>
      <c r="C51" s="1">
        <v>5.7</v>
      </c>
      <c r="D51" s="1">
        <v>52.5</v>
      </c>
      <c r="E51" s="15">
        <v>2.9</v>
      </c>
      <c r="F51" s="1">
        <v>3.5</v>
      </c>
      <c r="G51" s="1">
        <v>5.8</v>
      </c>
      <c r="H51" s="1">
        <v>47.9</v>
      </c>
      <c r="I51" s="15">
        <v>3.02</v>
      </c>
      <c r="J51" s="1">
        <v>3.4</v>
      </c>
      <c r="K51" s="1">
        <v>5.6</v>
      </c>
      <c r="L51" s="1">
        <v>47.8</v>
      </c>
      <c r="M51" s="15">
        <v>2.35</v>
      </c>
      <c r="N51" s="1">
        <v>3.4</v>
      </c>
      <c r="O51" s="1">
        <v>6.3</v>
      </c>
      <c r="P51" s="1">
        <v>47.7</v>
      </c>
      <c r="Q51" s="15">
        <v>2.0499999999999998</v>
      </c>
    </row>
    <row r="52" spans="1:17" x14ac:dyDescent="0.25">
      <c r="A52" s="122">
        <v>50</v>
      </c>
      <c r="B52" s="1">
        <v>3.5</v>
      </c>
      <c r="C52" s="1">
        <v>6.3</v>
      </c>
      <c r="D52" s="1">
        <v>52.3</v>
      </c>
      <c r="E52" s="15">
        <v>2.95</v>
      </c>
      <c r="F52" s="1">
        <v>3.5</v>
      </c>
      <c r="G52" s="1">
        <v>6.2</v>
      </c>
      <c r="H52" s="1">
        <v>47.5</v>
      </c>
      <c r="I52" s="15">
        <v>2.95</v>
      </c>
      <c r="J52" s="1">
        <v>3.4</v>
      </c>
      <c r="K52" s="1">
        <v>6.3</v>
      </c>
      <c r="L52" s="1">
        <v>47.9</v>
      </c>
      <c r="M52" s="15">
        <v>2.16</v>
      </c>
      <c r="N52" s="1">
        <v>3.4</v>
      </c>
      <c r="O52" s="1">
        <v>6.2</v>
      </c>
      <c r="P52" s="1">
        <v>48</v>
      </c>
      <c r="Q52" s="15">
        <v>1.87</v>
      </c>
    </row>
    <row r="53" spans="1:17" x14ac:dyDescent="0.25">
      <c r="A53" s="122">
        <v>51</v>
      </c>
      <c r="B53" s="1">
        <v>3.5</v>
      </c>
      <c r="C53" s="1">
        <v>6.2</v>
      </c>
      <c r="D53" s="1">
        <v>52.4</v>
      </c>
      <c r="E53" s="15">
        <v>2.92</v>
      </c>
      <c r="F53" s="1">
        <v>3.5</v>
      </c>
      <c r="G53" s="1">
        <v>6.2</v>
      </c>
      <c r="H53" s="1">
        <v>47.6</v>
      </c>
      <c r="I53" s="15">
        <v>2.98</v>
      </c>
      <c r="J53" s="1">
        <v>3.4</v>
      </c>
      <c r="K53" s="1">
        <v>6.2</v>
      </c>
      <c r="L53" s="1">
        <v>47.9</v>
      </c>
      <c r="M53" s="15">
        <v>2.27</v>
      </c>
      <c r="N53" s="1">
        <v>3.4</v>
      </c>
      <c r="O53" s="1">
        <v>6</v>
      </c>
      <c r="P53" s="1">
        <v>48.2</v>
      </c>
      <c r="Q53" s="15">
        <v>2.0499999999999998</v>
      </c>
    </row>
    <row r="54" spans="1:17" x14ac:dyDescent="0.25">
      <c r="A54" s="122">
        <v>52</v>
      </c>
      <c r="B54" s="1">
        <v>3.5</v>
      </c>
      <c r="C54" s="1">
        <v>6</v>
      </c>
      <c r="D54" s="1">
        <v>52</v>
      </c>
      <c r="E54" s="15">
        <v>2.99</v>
      </c>
      <c r="F54" s="1">
        <v>3.5</v>
      </c>
      <c r="G54" s="1">
        <v>6.1</v>
      </c>
      <c r="H54" s="1">
        <v>47.7</v>
      </c>
      <c r="I54" s="15">
        <v>2.95</v>
      </c>
      <c r="J54" s="1">
        <v>3.4</v>
      </c>
      <c r="K54" s="1">
        <v>6</v>
      </c>
      <c r="L54" s="1">
        <v>48.1</v>
      </c>
      <c r="M54" s="15">
        <v>2.56</v>
      </c>
      <c r="N54" s="1">
        <v>3.4</v>
      </c>
      <c r="O54" s="1">
        <v>5.8</v>
      </c>
      <c r="P54" s="1">
        <v>48.3</v>
      </c>
      <c r="Q54" s="15">
        <v>2.02</v>
      </c>
    </row>
    <row r="55" spans="1:17" x14ac:dyDescent="0.25">
      <c r="A55" s="122">
        <v>53</v>
      </c>
      <c r="B55" s="1">
        <v>3.5</v>
      </c>
      <c r="C55" s="1">
        <v>5.7</v>
      </c>
      <c r="D55" s="1">
        <v>52</v>
      </c>
      <c r="E55" s="15">
        <v>3.07</v>
      </c>
      <c r="F55" s="1">
        <v>3.5</v>
      </c>
      <c r="G55" s="1">
        <v>5.8</v>
      </c>
      <c r="H55" s="1">
        <v>47.9</v>
      </c>
      <c r="I55" s="15">
        <v>2.96</v>
      </c>
      <c r="J55" s="1">
        <v>3.4</v>
      </c>
      <c r="K55" s="1">
        <v>5.7</v>
      </c>
      <c r="L55" s="1">
        <v>48.5</v>
      </c>
      <c r="M55" s="15">
        <v>3.17</v>
      </c>
      <c r="N55" s="1">
        <v>3.4</v>
      </c>
      <c r="O55" s="1">
        <v>6.3</v>
      </c>
      <c r="P55" s="1">
        <v>48.3</v>
      </c>
      <c r="Q55" s="15">
        <v>2.0699999999999998</v>
      </c>
    </row>
    <row r="56" spans="1:17" x14ac:dyDescent="0.25">
      <c r="A56" s="122">
        <v>54</v>
      </c>
      <c r="B56" s="1">
        <v>3.4</v>
      </c>
      <c r="C56" s="1">
        <v>6.3</v>
      </c>
      <c r="D56" s="1">
        <v>51.7</v>
      </c>
      <c r="E56" s="15">
        <v>3.06</v>
      </c>
      <c r="F56" s="1">
        <v>3.5</v>
      </c>
      <c r="G56" s="1">
        <v>6.2</v>
      </c>
      <c r="H56" s="1">
        <v>48.1</v>
      </c>
      <c r="I56" s="15">
        <v>2.95</v>
      </c>
      <c r="J56" s="1">
        <v>3.4</v>
      </c>
      <c r="K56" s="1">
        <v>6.3</v>
      </c>
      <c r="L56" s="1">
        <v>48.6</v>
      </c>
      <c r="M56" s="15">
        <v>3.09</v>
      </c>
      <c r="N56" s="1">
        <v>3.4</v>
      </c>
      <c r="O56" s="1">
        <v>6.1</v>
      </c>
      <c r="P56" s="1">
        <v>48.6</v>
      </c>
      <c r="Q56" s="15">
        <v>2.08</v>
      </c>
    </row>
    <row r="57" spans="1:17" x14ac:dyDescent="0.25">
      <c r="A57" s="122">
        <v>55</v>
      </c>
      <c r="B57" s="1">
        <v>3.5</v>
      </c>
      <c r="C57" s="1">
        <v>6.2</v>
      </c>
      <c r="D57" s="1">
        <v>51.5</v>
      </c>
      <c r="E57" s="15">
        <v>3.06</v>
      </c>
      <c r="F57" s="1">
        <v>3.5</v>
      </c>
      <c r="G57" s="1">
        <v>6.2</v>
      </c>
      <c r="H57" s="1">
        <v>48.1</v>
      </c>
      <c r="I57" s="15">
        <v>2.95</v>
      </c>
      <c r="J57" s="1">
        <v>3.4</v>
      </c>
      <c r="K57" s="1">
        <v>6.2</v>
      </c>
      <c r="L57" s="1">
        <v>48.6</v>
      </c>
      <c r="M57" s="15">
        <v>2.61</v>
      </c>
      <c r="N57" s="1">
        <v>3.4</v>
      </c>
      <c r="O57" s="1">
        <v>5.9</v>
      </c>
      <c r="P57" s="1">
        <v>48.7</v>
      </c>
      <c r="Q57" s="15">
        <v>1.96</v>
      </c>
    </row>
    <row r="58" spans="1:17" x14ac:dyDescent="0.25">
      <c r="A58" s="122">
        <v>56</v>
      </c>
      <c r="B58" s="1">
        <v>3.5</v>
      </c>
      <c r="C58" s="1">
        <v>6</v>
      </c>
      <c r="D58" s="1">
        <v>51.4</v>
      </c>
      <c r="E58" s="15">
        <v>3.1</v>
      </c>
      <c r="F58" s="1">
        <v>3.5</v>
      </c>
      <c r="G58" s="1">
        <v>6.1</v>
      </c>
      <c r="H58" s="1">
        <v>48.2</v>
      </c>
      <c r="I58" s="15">
        <v>2.99</v>
      </c>
      <c r="J58" s="1">
        <v>3.4</v>
      </c>
      <c r="K58" s="1">
        <v>6</v>
      </c>
      <c r="L58" s="1">
        <v>48.8</v>
      </c>
      <c r="M58" s="15">
        <v>2.54</v>
      </c>
      <c r="N58" s="1">
        <v>3.4</v>
      </c>
      <c r="O58" s="1">
        <v>6.3</v>
      </c>
      <c r="P58" s="1">
        <v>47.9</v>
      </c>
      <c r="Q58" s="15">
        <v>2.02</v>
      </c>
    </row>
    <row r="59" spans="1:17" x14ac:dyDescent="0.25">
      <c r="A59" s="122">
        <v>57</v>
      </c>
      <c r="B59" s="1">
        <v>3.5</v>
      </c>
      <c r="C59" s="1">
        <v>5.7</v>
      </c>
      <c r="D59" s="1">
        <v>51.3</v>
      </c>
      <c r="E59" s="15">
        <v>3.06</v>
      </c>
      <c r="F59" s="1">
        <v>3.5</v>
      </c>
      <c r="G59" s="1">
        <v>5.8</v>
      </c>
      <c r="H59" s="1">
        <v>48.3</v>
      </c>
      <c r="I59" s="15">
        <v>2.92</v>
      </c>
      <c r="J59" s="1">
        <v>3.4</v>
      </c>
      <c r="K59" s="1">
        <v>5.7</v>
      </c>
      <c r="L59" s="1">
        <v>48.7</v>
      </c>
      <c r="M59" s="15">
        <v>2.73</v>
      </c>
      <c r="N59" s="1">
        <v>3.4</v>
      </c>
      <c r="O59" s="1">
        <v>6.2</v>
      </c>
      <c r="P59" s="1">
        <v>48.3</v>
      </c>
      <c r="Q59" s="15">
        <v>1.99</v>
      </c>
    </row>
    <row r="60" spans="1:17" x14ac:dyDescent="0.25">
      <c r="A60" s="122">
        <v>58</v>
      </c>
      <c r="B60" s="1">
        <v>3.4</v>
      </c>
      <c r="C60" s="1">
        <v>6.3</v>
      </c>
      <c r="D60" s="1">
        <v>51.3</v>
      </c>
      <c r="E60" s="15">
        <v>3.01</v>
      </c>
      <c r="F60" s="1">
        <v>3.5</v>
      </c>
      <c r="G60" s="1">
        <v>6.2</v>
      </c>
      <c r="H60" s="1">
        <v>48.4</v>
      </c>
      <c r="I60" s="15">
        <v>2.98</v>
      </c>
      <c r="J60" s="1">
        <v>3.4</v>
      </c>
      <c r="K60" s="1">
        <v>6.3</v>
      </c>
      <c r="L60" s="1">
        <v>48.7</v>
      </c>
      <c r="M60" s="15">
        <v>2.42</v>
      </c>
      <c r="N60" s="1">
        <v>3.4</v>
      </c>
      <c r="O60" s="1">
        <v>6.1</v>
      </c>
      <c r="P60" s="1">
        <v>48.7</v>
      </c>
      <c r="Q60" s="15">
        <v>2.69</v>
      </c>
    </row>
    <row r="61" spans="1:17" x14ac:dyDescent="0.25">
      <c r="A61" s="122">
        <v>59</v>
      </c>
      <c r="B61" s="1">
        <v>3.4</v>
      </c>
      <c r="C61" s="1">
        <v>6.2</v>
      </c>
      <c r="D61" s="1">
        <v>51.2</v>
      </c>
      <c r="E61" s="15">
        <v>2.93</v>
      </c>
      <c r="F61" s="1">
        <v>3.5</v>
      </c>
      <c r="G61" s="1">
        <v>6.2</v>
      </c>
      <c r="H61" s="1">
        <v>48.4</v>
      </c>
      <c r="I61" s="15">
        <v>2.98</v>
      </c>
      <c r="J61" s="1">
        <v>3.4</v>
      </c>
      <c r="K61" s="1">
        <v>6.1</v>
      </c>
      <c r="L61" s="1">
        <v>48.6</v>
      </c>
      <c r="M61" s="15">
        <v>2.41</v>
      </c>
      <c r="N61" s="1">
        <v>3.4</v>
      </c>
      <c r="O61" s="1">
        <v>5.9</v>
      </c>
      <c r="P61" s="1">
        <v>48.1</v>
      </c>
      <c r="Q61" s="15">
        <v>2.98</v>
      </c>
    </row>
    <row r="62" spans="1:17" x14ac:dyDescent="0.25">
      <c r="A62" s="122">
        <v>60</v>
      </c>
      <c r="B62" s="1">
        <v>3.5</v>
      </c>
      <c r="C62" s="1">
        <v>6</v>
      </c>
      <c r="D62" s="1">
        <v>51.3</v>
      </c>
      <c r="E62" s="15">
        <v>2.89</v>
      </c>
      <c r="F62" s="1">
        <v>3.5</v>
      </c>
      <c r="G62" s="1">
        <v>6.1</v>
      </c>
      <c r="H62" s="1">
        <v>48.6</v>
      </c>
      <c r="I62" s="15">
        <v>2.93</v>
      </c>
      <c r="J62" s="1">
        <v>3.4</v>
      </c>
      <c r="K62" s="1">
        <v>5.8</v>
      </c>
      <c r="L62" s="1">
        <v>48.8</v>
      </c>
      <c r="M62" s="15">
        <v>2.5299999999999998</v>
      </c>
      <c r="N62" s="1">
        <v>3.4</v>
      </c>
      <c r="O62" s="1">
        <v>6</v>
      </c>
      <c r="P62" s="1">
        <v>48</v>
      </c>
      <c r="Q62" s="15">
        <v>4.28</v>
      </c>
    </row>
    <row r="63" spans="1:17" x14ac:dyDescent="0.25">
      <c r="A63" s="122">
        <v>61</v>
      </c>
      <c r="B63" s="1">
        <v>3.5</v>
      </c>
      <c r="C63" s="1">
        <v>5.9</v>
      </c>
      <c r="D63" s="1">
        <v>51.5</v>
      </c>
      <c r="E63" s="15">
        <v>2.87</v>
      </c>
      <c r="F63" s="1">
        <v>3.5</v>
      </c>
      <c r="G63" s="1">
        <v>5.9</v>
      </c>
      <c r="H63" s="1">
        <v>48.7</v>
      </c>
      <c r="I63" s="15">
        <v>2.98</v>
      </c>
      <c r="J63" s="1">
        <v>3.4</v>
      </c>
      <c r="K63" s="1">
        <v>6.3</v>
      </c>
      <c r="L63" s="1">
        <v>48.6</v>
      </c>
      <c r="M63" s="15">
        <v>2.36</v>
      </c>
      <c r="N63" s="1">
        <v>3.4</v>
      </c>
      <c r="O63" s="1">
        <v>6.2</v>
      </c>
      <c r="P63" s="1">
        <v>48.4</v>
      </c>
      <c r="Q63" s="15">
        <v>1.82</v>
      </c>
    </row>
    <row r="64" spans="1:17" x14ac:dyDescent="0.25">
      <c r="A64" s="122">
        <v>62</v>
      </c>
      <c r="B64" s="1">
        <v>3.4</v>
      </c>
      <c r="C64" s="1">
        <v>6.3</v>
      </c>
      <c r="D64" s="1">
        <v>51.7</v>
      </c>
      <c r="E64" s="15">
        <v>2.9</v>
      </c>
      <c r="F64" s="1">
        <v>3.4</v>
      </c>
      <c r="G64" s="1">
        <v>5.9</v>
      </c>
      <c r="H64" s="1">
        <v>49.3</v>
      </c>
      <c r="I64" s="15">
        <v>2.83</v>
      </c>
      <c r="J64" s="1">
        <v>3.4</v>
      </c>
      <c r="K64" s="1">
        <v>6.2</v>
      </c>
      <c r="L64" s="1">
        <v>48.5</v>
      </c>
      <c r="M64" s="15">
        <v>2.44</v>
      </c>
      <c r="N64" s="1">
        <v>3.4</v>
      </c>
      <c r="O64" s="1">
        <v>6.1</v>
      </c>
      <c r="P64" s="1">
        <v>48.6</v>
      </c>
      <c r="Q64" s="15">
        <v>2.17</v>
      </c>
    </row>
    <row r="65" spans="1:17" x14ac:dyDescent="0.25">
      <c r="A65" s="122">
        <v>63</v>
      </c>
      <c r="B65" s="1">
        <v>3.4</v>
      </c>
      <c r="C65" s="1">
        <v>6.2</v>
      </c>
      <c r="D65" s="1">
        <v>51.6</v>
      </c>
      <c r="E65" s="15">
        <v>2.93</v>
      </c>
      <c r="F65" s="1">
        <v>3.4</v>
      </c>
      <c r="G65" s="1">
        <v>6</v>
      </c>
      <c r="H65" s="1">
        <v>49.1</v>
      </c>
      <c r="I65" s="15">
        <v>2.9</v>
      </c>
      <c r="J65" s="1">
        <v>3.4</v>
      </c>
      <c r="K65" s="1">
        <v>6.1</v>
      </c>
      <c r="L65" s="1">
        <v>48.6</v>
      </c>
      <c r="M65" s="15">
        <v>2.39</v>
      </c>
      <c r="N65" s="1">
        <v>3.4</v>
      </c>
      <c r="O65" s="1">
        <v>5.9</v>
      </c>
      <c r="P65" s="1">
        <v>48.2</v>
      </c>
      <c r="Q65" s="15">
        <v>2.16</v>
      </c>
    </row>
    <row r="66" spans="1:17" x14ac:dyDescent="0.25">
      <c r="A66" s="122">
        <v>64</v>
      </c>
      <c r="B66" s="1">
        <v>3.5</v>
      </c>
      <c r="C66" s="1">
        <v>5.9</v>
      </c>
      <c r="D66" s="1">
        <v>51.8</v>
      </c>
      <c r="E66" s="15">
        <v>2.92</v>
      </c>
      <c r="F66" s="1">
        <v>3.4</v>
      </c>
      <c r="G66" s="1">
        <v>6.2</v>
      </c>
      <c r="H66" s="1">
        <v>48.8</v>
      </c>
      <c r="I66" s="15">
        <v>2.89</v>
      </c>
      <c r="J66" s="1">
        <v>3.4</v>
      </c>
      <c r="K66" s="1">
        <v>5.8</v>
      </c>
      <c r="L66" s="1">
        <v>48.6</v>
      </c>
      <c r="M66" s="15">
        <v>2.37</v>
      </c>
      <c r="N66" s="1">
        <v>3.4</v>
      </c>
      <c r="O66" s="1">
        <v>6.2</v>
      </c>
      <c r="P66" s="1">
        <v>48.3</v>
      </c>
      <c r="Q66" s="15">
        <v>1.87</v>
      </c>
    </row>
    <row r="67" spans="1:17" x14ac:dyDescent="0.25">
      <c r="A67" s="122">
        <v>65</v>
      </c>
      <c r="B67" s="1">
        <v>3.5</v>
      </c>
      <c r="C67" s="1">
        <v>5.7</v>
      </c>
      <c r="D67" s="1">
        <v>52.1</v>
      </c>
      <c r="E67" s="15">
        <v>2.99</v>
      </c>
      <c r="F67" s="1">
        <v>3.4</v>
      </c>
      <c r="G67" s="1">
        <v>6.1</v>
      </c>
      <c r="H67" s="1">
        <v>48.6</v>
      </c>
      <c r="I67" s="15">
        <v>2.78</v>
      </c>
      <c r="J67" s="1">
        <v>3.4</v>
      </c>
      <c r="K67" s="1">
        <v>6.3</v>
      </c>
      <c r="L67" s="1">
        <v>48.6</v>
      </c>
      <c r="M67" s="15">
        <v>2.41</v>
      </c>
      <c r="N67" s="1">
        <v>3.4</v>
      </c>
      <c r="O67" s="1">
        <v>6.2</v>
      </c>
      <c r="P67" s="1">
        <v>49.3</v>
      </c>
      <c r="Q67" s="15">
        <v>4.51</v>
      </c>
    </row>
    <row r="68" spans="1:17" x14ac:dyDescent="0.25">
      <c r="A68" s="122">
        <v>66</v>
      </c>
      <c r="B68" s="1">
        <v>3.4</v>
      </c>
      <c r="C68" s="1">
        <v>6.3</v>
      </c>
      <c r="D68" s="1">
        <v>52.1</v>
      </c>
      <c r="E68" s="15">
        <v>2.92</v>
      </c>
      <c r="F68" s="1">
        <v>3.4</v>
      </c>
      <c r="G68" s="1">
        <v>5.8</v>
      </c>
      <c r="H68" s="1">
        <v>48.3</v>
      </c>
      <c r="I68" s="15">
        <v>2.81</v>
      </c>
      <c r="J68" s="1">
        <v>3.4</v>
      </c>
      <c r="K68" s="1">
        <v>6.2</v>
      </c>
      <c r="L68" s="1">
        <v>48.7</v>
      </c>
      <c r="M68" s="15">
        <v>2.58</v>
      </c>
      <c r="N68" s="1">
        <v>3.4</v>
      </c>
      <c r="O68" s="1">
        <v>6.1</v>
      </c>
      <c r="P68" s="1">
        <v>48.1</v>
      </c>
      <c r="Q68" s="15">
        <v>1.7</v>
      </c>
    </row>
    <row r="69" spans="1:17" x14ac:dyDescent="0.25">
      <c r="A69" s="122">
        <v>67</v>
      </c>
      <c r="B69" s="1">
        <v>3.4</v>
      </c>
      <c r="C69" s="1">
        <v>6.2</v>
      </c>
      <c r="D69" s="1">
        <v>52.4</v>
      </c>
      <c r="E69" s="15">
        <v>2.92</v>
      </c>
      <c r="F69" s="1">
        <v>3.4</v>
      </c>
      <c r="G69" s="1">
        <v>6.3</v>
      </c>
      <c r="H69" s="1">
        <v>48</v>
      </c>
      <c r="I69" s="15">
        <v>2.79</v>
      </c>
      <c r="J69" s="1">
        <v>3.4</v>
      </c>
      <c r="K69" s="1">
        <v>6.1</v>
      </c>
      <c r="L69" s="1">
        <v>49.2</v>
      </c>
      <c r="M69" s="15">
        <v>2.9</v>
      </c>
      <c r="N69" s="1">
        <v>3.4</v>
      </c>
      <c r="O69" s="1">
        <v>5.9</v>
      </c>
      <c r="P69" s="1">
        <v>48.2</v>
      </c>
      <c r="Q69" s="15">
        <v>1.64</v>
      </c>
    </row>
    <row r="70" spans="1:17" x14ac:dyDescent="0.25">
      <c r="A70" s="122">
        <v>68</v>
      </c>
      <c r="B70" s="1">
        <v>3.5</v>
      </c>
      <c r="C70" s="1">
        <v>6</v>
      </c>
      <c r="D70" s="1">
        <v>52.5</v>
      </c>
      <c r="E70" s="15">
        <v>2.92</v>
      </c>
      <c r="F70" s="1">
        <v>3.4</v>
      </c>
      <c r="G70" s="1">
        <v>6.2</v>
      </c>
      <c r="H70" s="1">
        <v>47.7</v>
      </c>
      <c r="I70" s="15">
        <v>2.78</v>
      </c>
      <c r="J70" s="1">
        <v>3.4</v>
      </c>
      <c r="K70" s="1">
        <v>5.7</v>
      </c>
      <c r="L70" s="1">
        <v>49.6</v>
      </c>
      <c r="M70" s="15">
        <v>3.85</v>
      </c>
      <c r="N70" s="1">
        <v>3.4</v>
      </c>
      <c r="O70" s="1">
        <v>6.1</v>
      </c>
      <c r="P70" s="1">
        <v>48.4</v>
      </c>
      <c r="Q70" s="15">
        <v>1.71</v>
      </c>
    </row>
    <row r="71" spans="1:17" x14ac:dyDescent="0.25">
      <c r="A71" s="122">
        <v>69</v>
      </c>
      <c r="B71" s="1">
        <v>3.5</v>
      </c>
      <c r="C71" s="1">
        <v>5.7</v>
      </c>
      <c r="D71" s="1">
        <v>52.8</v>
      </c>
      <c r="E71" s="15">
        <v>2.96</v>
      </c>
      <c r="F71" s="1">
        <v>3.4</v>
      </c>
      <c r="G71" s="1">
        <v>6.1</v>
      </c>
      <c r="H71" s="1">
        <v>47.5</v>
      </c>
      <c r="I71" s="15">
        <v>2.75</v>
      </c>
      <c r="J71" s="1">
        <v>3.4</v>
      </c>
      <c r="K71" s="1">
        <v>6.3</v>
      </c>
      <c r="L71" s="1">
        <v>49.5</v>
      </c>
      <c r="M71" s="15">
        <v>3.11</v>
      </c>
      <c r="N71" s="1">
        <v>3.4</v>
      </c>
      <c r="O71" s="1">
        <v>6.2</v>
      </c>
      <c r="P71" s="1">
        <v>48.4</v>
      </c>
      <c r="Q71" s="15">
        <v>1.87</v>
      </c>
    </row>
    <row r="72" spans="1:17" x14ac:dyDescent="0.25">
      <c r="A72" s="122">
        <v>70</v>
      </c>
      <c r="B72" s="1">
        <v>3.4</v>
      </c>
      <c r="C72" s="1">
        <v>6.3</v>
      </c>
      <c r="D72" s="1">
        <v>52.9</v>
      </c>
      <c r="E72" s="15">
        <v>2.95</v>
      </c>
      <c r="F72" s="1">
        <v>3.4</v>
      </c>
      <c r="G72" s="1">
        <v>5.7</v>
      </c>
      <c r="H72" s="1">
        <v>47.3</v>
      </c>
      <c r="I72" s="15">
        <v>2.73</v>
      </c>
      <c r="J72" s="1">
        <v>3.4</v>
      </c>
      <c r="K72" s="1">
        <v>6.2</v>
      </c>
      <c r="L72" s="1">
        <v>49.5</v>
      </c>
      <c r="M72" s="15">
        <v>2.39</v>
      </c>
      <c r="N72" s="1">
        <v>3.4</v>
      </c>
      <c r="O72" s="1">
        <v>6.1</v>
      </c>
      <c r="P72" s="1">
        <v>49.9</v>
      </c>
      <c r="Q72" s="15">
        <v>4.47</v>
      </c>
    </row>
    <row r="73" spans="1:17" x14ac:dyDescent="0.25">
      <c r="A73" s="122">
        <v>71</v>
      </c>
      <c r="B73" s="1">
        <v>3.4</v>
      </c>
      <c r="C73" s="1">
        <v>6.2</v>
      </c>
      <c r="D73" s="1">
        <v>53</v>
      </c>
      <c r="E73" s="15">
        <v>2.95</v>
      </c>
      <c r="F73" s="1">
        <v>3.4</v>
      </c>
      <c r="G73" s="1">
        <v>6.3</v>
      </c>
      <c r="H73" s="1">
        <v>47.1</v>
      </c>
      <c r="I73" s="15">
        <v>2.72</v>
      </c>
      <c r="J73" s="1">
        <v>3.4</v>
      </c>
      <c r="K73" s="1">
        <v>6</v>
      </c>
      <c r="L73" s="1">
        <v>49.4</v>
      </c>
      <c r="M73" s="15">
        <v>2.33</v>
      </c>
      <c r="N73" s="1">
        <v>3.4</v>
      </c>
      <c r="O73" s="1">
        <v>5.9</v>
      </c>
      <c r="P73" s="1">
        <v>48.9</v>
      </c>
      <c r="Q73" s="15">
        <v>3.8</v>
      </c>
    </row>
    <row r="74" spans="1:17" x14ac:dyDescent="0.25">
      <c r="A74" s="122">
        <v>72</v>
      </c>
      <c r="B74" s="1">
        <v>3.4</v>
      </c>
      <c r="C74" s="1">
        <v>6</v>
      </c>
      <c r="D74" s="1">
        <v>53.1</v>
      </c>
      <c r="E74" s="15">
        <v>2.98</v>
      </c>
      <c r="F74" s="1">
        <v>3.4</v>
      </c>
      <c r="G74" s="1">
        <v>6.2</v>
      </c>
      <c r="H74" s="1">
        <v>46.9</v>
      </c>
      <c r="I74" s="15">
        <v>2.67</v>
      </c>
      <c r="J74" s="1">
        <v>3.4</v>
      </c>
      <c r="K74" s="1">
        <v>5.7</v>
      </c>
      <c r="L74" s="1">
        <v>49.4</v>
      </c>
      <c r="M74" s="15">
        <v>2.4700000000000002</v>
      </c>
      <c r="N74" s="1">
        <v>3.4</v>
      </c>
      <c r="O74" s="1">
        <v>6.1</v>
      </c>
      <c r="P74" s="1">
        <v>50.5</v>
      </c>
      <c r="Q74" s="15">
        <v>2.4500000000000002</v>
      </c>
    </row>
    <row r="75" spans="1:17" x14ac:dyDescent="0.25">
      <c r="A75" s="122">
        <v>73</v>
      </c>
      <c r="B75" s="1">
        <v>3.5</v>
      </c>
      <c r="C75" s="1">
        <v>5.8</v>
      </c>
      <c r="D75" s="1">
        <v>53.2</v>
      </c>
      <c r="E75" s="15">
        <v>2.98</v>
      </c>
      <c r="F75" s="1">
        <v>3.4</v>
      </c>
      <c r="G75" s="1">
        <v>6</v>
      </c>
      <c r="H75" s="1">
        <v>46.7</v>
      </c>
      <c r="I75" s="15">
        <v>2.67</v>
      </c>
      <c r="J75" s="1">
        <v>3.4</v>
      </c>
      <c r="K75" s="1">
        <v>6.3</v>
      </c>
      <c r="L75" s="1">
        <v>49.4</v>
      </c>
      <c r="M75" s="15">
        <v>2.08</v>
      </c>
      <c r="N75" s="1">
        <v>3.4</v>
      </c>
      <c r="O75" s="1">
        <v>6.2</v>
      </c>
      <c r="P75" s="1">
        <v>48.6</v>
      </c>
      <c r="Q75" s="15">
        <v>1.85</v>
      </c>
    </row>
    <row r="76" spans="1:17" x14ac:dyDescent="0.25">
      <c r="A76" s="122">
        <v>74</v>
      </c>
      <c r="B76" s="1">
        <v>3.4</v>
      </c>
      <c r="C76" s="1">
        <v>6.3</v>
      </c>
      <c r="D76" s="1">
        <v>53.1</v>
      </c>
      <c r="E76" s="15">
        <v>2.89</v>
      </c>
      <c r="F76" s="1">
        <v>3.4</v>
      </c>
      <c r="G76" s="1">
        <v>5.7</v>
      </c>
      <c r="H76" s="1">
        <v>46.7</v>
      </c>
      <c r="I76" s="15">
        <v>2.58</v>
      </c>
      <c r="J76" s="1">
        <v>3.4</v>
      </c>
      <c r="K76" s="1">
        <v>6.2</v>
      </c>
      <c r="L76" s="1">
        <v>49.2</v>
      </c>
      <c r="M76" s="15">
        <v>2.2999999999999998</v>
      </c>
      <c r="N76" s="1">
        <v>3.4</v>
      </c>
      <c r="O76" s="1">
        <v>6.1</v>
      </c>
      <c r="P76" s="1">
        <v>49.1</v>
      </c>
      <c r="Q76" s="15">
        <v>2.54</v>
      </c>
    </row>
    <row r="77" spans="1:17" x14ac:dyDescent="0.25">
      <c r="A77" s="122">
        <v>75</v>
      </c>
      <c r="B77" s="1">
        <v>3.4</v>
      </c>
      <c r="C77" s="1">
        <v>6.2</v>
      </c>
      <c r="D77" s="1">
        <v>53.1</v>
      </c>
      <c r="E77" s="15">
        <v>2.93</v>
      </c>
      <c r="F77" s="1">
        <v>3.4</v>
      </c>
      <c r="G77" s="1">
        <v>6.2</v>
      </c>
      <c r="H77" s="1">
        <v>46.5</v>
      </c>
      <c r="I77" s="15">
        <v>2.67</v>
      </c>
      <c r="J77" s="1">
        <v>3.4</v>
      </c>
      <c r="K77" s="1">
        <v>6</v>
      </c>
      <c r="L77" s="1">
        <v>49.1</v>
      </c>
      <c r="M77" s="15">
        <v>2.2999999999999998</v>
      </c>
      <c r="N77" s="1">
        <v>3.4</v>
      </c>
      <c r="O77" s="1">
        <v>5.9</v>
      </c>
      <c r="P77" s="1">
        <v>48.7</v>
      </c>
      <c r="Q77" s="15">
        <v>1.97</v>
      </c>
    </row>
    <row r="78" spans="1:17" x14ac:dyDescent="0.25">
      <c r="A78" s="122">
        <v>76</v>
      </c>
      <c r="B78" s="1">
        <v>3.4</v>
      </c>
      <c r="C78" s="1">
        <v>6</v>
      </c>
      <c r="D78" s="1">
        <v>53.2</v>
      </c>
      <c r="E78" s="15">
        <v>2.96</v>
      </c>
      <c r="F78" s="1">
        <v>3.4</v>
      </c>
      <c r="G78" s="1">
        <v>6.1</v>
      </c>
      <c r="H78" s="1">
        <v>46.6</v>
      </c>
      <c r="I78" s="15">
        <v>2.7</v>
      </c>
      <c r="J78" s="1">
        <v>3.4</v>
      </c>
      <c r="K78" s="1">
        <v>5.8</v>
      </c>
      <c r="L78" s="1">
        <v>48.5</v>
      </c>
      <c r="M78" s="15">
        <v>2.36</v>
      </c>
      <c r="N78" s="1">
        <v>3.4</v>
      </c>
      <c r="O78" s="1">
        <v>6</v>
      </c>
      <c r="P78" s="1">
        <v>47.9</v>
      </c>
      <c r="Q78" s="15">
        <v>4.28</v>
      </c>
    </row>
    <row r="79" spans="1:17" x14ac:dyDescent="0.25">
      <c r="A79" s="122">
        <v>77</v>
      </c>
      <c r="B79" s="1">
        <v>3.5</v>
      </c>
      <c r="C79" s="1">
        <v>5.7</v>
      </c>
      <c r="D79" s="1">
        <v>53.4</v>
      </c>
      <c r="E79" s="15">
        <v>2.98</v>
      </c>
      <c r="F79" s="1">
        <v>3.4</v>
      </c>
      <c r="G79" s="1">
        <v>5.9</v>
      </c>
      <c r="H79" s="1">
        <v>46.9</v>
      </c>
      <c r="I79" s="15">
        <v>2.78</v>
      </c>
      <c r="J79" s="1">
        <v>3.4</v>
      </c>
      <c r="K79" s="1">
        <v>6.3</v>
      </c>
      <c r="L79" s="1">
        <v>47.9</v>
      </c>
      <c r="M79" s="15">
        <v>2.27</v>
      </c>
      <c r="N79" s="1">
        <v>3.4</v>
      </c>
      <c r="O79" s="1">
        <v>6.2</v>
      </c>
      <c r="P79" s="1">
        <v>47.7</v>
      </c>
      <c r="Q79" s="15">
        <v>1.65</v>
      </c>
    </row>
    <row r="80" spans="1:17" x14ac:dyDescent="0.25">
      <c r="A80" s="122">
        <v>78</v>
      </c>
      <c r="B80" s="1">
        <v>3.4</v>
      </c>
      <c r="C80" s="1">
        <v>6.3</v>
      </c>
      <c r="D80" s="1">
        <v>52.7</v>
      </c>
      <c r="E80" s="15">
        <v>2.81</v>
      </c>
      <c r="F80" s="1">
        <v>3.4</v>
      </c>
      <c r="G80" s="1">
        <v>6.1</v>
      </c>
      <c r="H80" s="1">
        <v>47.2</v>
      </c>
      <c r="I80" s="15">
        <v>2.66</v>
      </c>
      <c r="J80" s="1">
        <v>3.4</v>
      </c>
      <c r="K80" s="1">
        <v>6.2</v>
      </c>
      <c r="L80" s="1">
        <v>47.7</v>
      </c>
      <c r="M80" s="15">
        <v>2.27</v>
      </c>
      <c r="N80" s="1">
        <v>3.4</v>
      </c>
      <c r="O80" s="1">
        <v>6.1</v>
      </c>
      <c r="P80" s="1">
        <v>48.7</v>
      </c>
      <c r="Q80" s="15">
        <v>2.13</v>
      </c>
    </row>
    <row r="81" spans="1:17" x14ac:dyDescent="0.25">
      <c r="A81" s="122">
        <v>79</v>
      </c>
      <c r="B81" s="1">
        <v>3.4</v>
      </c>
      <c r="C81" s="1">
        <v>6.2</v>
      </c>
      <c r="D81" s="1">
        <v>53.1</v>
      </c>
      <c r="E81" s="15">
        <v>2.79</v>
      </c>
      <c r="F81" s="1">
        <v>3.4</v>
      </c>
      <c r="G81" s="1">
        <v>6.2</v>
      </c>
      <c r="H81" s="1">
        <v>47.5</v>
      </c>
      <c r="I81" s="15">
        <v>2.73</v>
      </c>
      <c r="J81" s="1">
        <v>3.4</v>
      </c>
      <c r="K81" s="1">
        <v>6</v>
      </c>
      <c r="L81" s="1">
        <v>47.7</v>
      </c>
      <c r="M81" s="15">
        <v>2.25</v>
      </c>
      <c r="N81" s="1">
        <v>3.4</v>
      </c>
      <c r="O81" s="1">
        <v>5.7</v>
      </c>
      <c r="P81" s="1">
        <v>48.4</v>
      </c>
      <c r="Q81" s="15">
        <v>2.02</v>
      </c>
    </row>
    <row r="82" spans="1:17" x14ac:dyDescent="0.25">
      <c r="A82" s="122">
        <v>80</v>
      </c>
      <c r="B82" s="1">
        <v>3.4</v>
      </c>
      <c r="C82" s="1">
        <v>6</v>
      </c>
      <c r="D82" s="1">
        <v>52.5</v>
      </c>
      <c r="E82" s="15">
        <v>2.79</v>
      </c>
      <c r="F82" s="1">
        <v>3.4</v>
      </c>
      <c r="G82" s="1">
        <v>6.1</v>
      </c>
      <c r="H82" s="1">
        <v>47.9</v>
      </c>
      <c r="I82" s="15">
        <v>2.77</v>
      </c>
      <c r="J82" s="1">
        <v>3.4</v>
      </c>
      <c r="K82" s="1">
        <v>5.8</v>
      </c>
      <c r="L82" s="1">
        <v>48</v>
      </c>
      <c r="M82" s="15">
        <v>2.2799999999999998</v>
      </c>
      <c r="N82" s="1">
        <v>3.4</v>
      </c>
      <c r="O82" s="1">
        <v>6.3</v>
      </c>
      <c r="P82" s="1">
        <v>48.5</v>
      </c>
      <c r="Q82" s="15">
        <v>2.16</v>
      </c>
    </row>
    <row r="83" spans="1:17" x14ac:dyDescent="0.25">
      <c r="A83" s="122">
        <v>81</v>
      </c>
      <c r="B83" s="1">
        <v>3.5</v>
      </c>
      <c r="C83" s="1">
        <v>5.7</v>
      </c>
      <c r="D83" s="1">
        <v>53.2</v>
      </c>
      <c r="E83" s="15">
        <v>2.83</v>
      </c>
      <c r="F83" s="1">
        <v>3.4</v>
      </c>
      <c r="G83" s="1">
        <v>5.8</v>
      </c>
      <c r="H83" s="1">
        <v>48.3</v>
      </c>
      <c r="I83" s="15">
        <v>2.78</v>
      </c>
      <c r="J83" s="1">
        <v>3.4</v>
      </c>
      <c r="K83" s="1">
        <v>6.3</v>
      </c>
      <c r="L83" s="1">
        <v>48.1</v>
      </c>
      <c r="M83" s="15">
        <v>2.58</v>
      </c>
      <c r="N83" s="1">
        <v>3.4</v>
      </c>
      <c r="O83" s="1">
        <v>6.2</v>
      </c>
      <c r="P83" s="1">
        <v>48.5</v>
      </c>
      <c r="Q83" s="15">
        <v>1.94</v>
      </c>
    </row>
    <row r="84" spans="1:17" x14ac:dyDescent="0.25">
      <c r="A84" s="122">
        <v>82</v>
      </c>
      <c r="B84" s="1">
        <v>3.4</v>
      </c>
      <c r="C84" s="1">
        <v>6.3</v>
      </c>
      <c r="D84" s="1">
        <v>53.7</v>
      </c>
      <c r="E84" s="15">
        <v>2.92</v>
      </c>
      <c r="F84" s="1">
        <v>3.4</v>
      </c>
      <c r="G84" s="1">
        <v>6.3</v>
      </c>
      <c r="H84" s="1">
        <v>48.6</v>
      </c>
      <c r="I84" s="15">
        <v>2.79</v>
      </c>
      <c r="J84" s="1">
        <v>3.4</v>
      </c>
      <c r="K84" s="1">
        <v>6.2</v>
      </c>
      <c r="L84" s="1">
        <v>48.4</v>
      </c>
      <c r="M84" s="15">
        <v>3.67</v>
      </c>
      <c r="N84" s="1">
        <v>3.4</v>
      </c>
      <c r="O84" s="1">
        <v>6.1</v>
      </c>
      <c r="P84" s="1">
        <v>48.4</v>
      </c>
      <c r="Q84" s="15">
        <v>2.2799999999999998</v>
      </c>
    </row>
    <row r="85" spans="1:17" x14ac:dyDescent="0.25">
      <c r="A85" s="122">
        <v>83</v>
      </c>
      <c r="B85" s="1">
        <v>3.4</v>
      </c>
      <c r="C85" s="1">
        <v>6.2</v>
      </c>
      <c r="D85" s="1">
        <v>52.8</v>
      </c>
      <c r="E85" s="15">
        <v>2.79</v>
      </c>
      <c r="F85" s="1">
        <v>3.4</v>
      </c>
      <c r="G85" s="1">
        <v>6.2</v>
      </c>
      <c r="H85" s="1">
        <v>48.8</v>
      </c>
      <c r="I85" s="15">
        <v>2.75</v>
      </c>
      <c r="J85" s="1">
        <v>3.4</v>
      </c>
      <c r="K85" s="1">
        <v>6</v>
      </c>
      <c r="L85" s="1">
        <v>48.5</v>
      </c>
      <c r="M85" s="15">
        <v>3.86</v>
      </c>
      <c r="N85" s="1">
        <v>3.4</v>
      </c>
      <c r="O85" s="1">
        <v>5.8</v>
      </c>
      <c r="P85" s="1">
        <v>48.9</v>
      </c>
      <c r="Q85" s="15">
        <v>2.4700000000000002</v>
      </c>
    </row>
    <row r="86" spans="1:17" x14ac:dyDescent="0.25">
      <c r="A86" s="122">
        <v>84</v>
      </c>
      <c r="B86" s="1">
        <v>3.4</v>
      </c>
      <c r="C86" s="1">
        <v>5.9</v>
      </c>
      <c r="D86" s="1">
        <v>53.4</v>
      </c>
      <c r="E86" s="15">
        <v>2.87</v>
      </c>
      <c r="F86" s="1">
        <v>3.4</v>
      </c>
      <c r="G86" s="1">
        <v>6</v>
      </c>
      <c r="H86" s="1">
        <v>48.9</v>
      </c>
      <c r="I86" s="15">
        <v>2.8</v>
      </c>
      <c r="J86" s="1">
        <v>3.4</v>
      </c>
      <c r="K86" s="1">
        <v>5.8</v>
      </c>
      <c r="L86" s="1">
        <v>48.6</v>
      </c>
      <c r="M86" s="15">
        <v>4.05</v>
      </c>
      <c r="N86" s="1">
        <v>3.4</v>
      </c>
      <c r="O86" s="1">
        <v>6.3</v>
      </c>
      <c r="P86" s="1">
        <v>48.6</v>
      </c>
      <c r="Q86" s="15">
        <v>4.03</v>
      </c>
    </row>
    <row r="87" spans="1:17" x14ac:dyDescent="0.25">
      <c r="A87" s="122">
        <v>85</v>
      </c>
      <c r="B87" s="1">
        <v>3.4</v>
      </c>
      <c r="C87" s="1">
        <v>6</v>
      </c>
      <c r="D87" s="1">
        <v>53.5</v>
      </c>
      <c r="E87" s="15">
        <v>2.89</v>
      </c>
      <c r="F87" s="1">
        <v>3.4</v>
      </c>
      <c r="G87" s="1">
        <v>6.3</v>
      </c>
      <c r="H87" s="1">
        <v>49.2</v>
      </c>
      <c r="I87" s="15">
        <v>2.84</v>
      </c>
      <c r="J87" s="1">
        <v>3.4</v>
      </c>
      <c r="K87" s="1">
        <v>6.3</v>
      </c>
      <c r="L87" s="1">
        <v>48.5</v>
      </c>
      <c r="M87" s="15">
        <v>3.97</v>
      </c>
      <c r="N87" s="1">
        <v>3.4</v>
      </c>
      <c r="O87" s="1">
        <v>6.2</v>
      </c>
      <c r="P87" s="1">
        <v>46.9</v>
      </c>
      <c r="Q87" s="15">
        <v>1.77</v>
      </c>
    </row>
    <row r="88" spans="1:17" x14ac:dyDescent="0.25">
      <c r="A88" s="122">
        <v>86</v>
      </c>
      <c r="B88" s="1">
        <v>3.4</v>
      </c>
      <c r="C88" s="1">
        <v>6.2</v>
      </c>
      <c r="D88" s="1">
        <v>53.6</v>
      </c>
      <c r="E88" s="15">
        <v>2.86</v>
      </c>
      <c r="F88" s="1">
        <v>3.4</v>
      </c>
      <c r="G88" s="1">
        <v>6.2</v>
      </c>
      <c r="H88" s="1">
        <v>49.3</v>
      </c>
      <c r="I88" s="15">
        <v>2.81</v>
      </c>
      <c r="J88" s="1">
        <v>3.4</v>
      </c>
      <c r="K88" s="1">
        <v>6.2</v>
      </c>
      <c r="L88" s="1">
        <v>48.5</v>
      </c>
      <c r="M88" s="15">
        <v>4.13</v>
      </c>
      <c r="N88" s="1">
        <v>3.4</v>
      </c>
      <c r="O88" s="1">
        <v>6.1</v>
      </c>
      <c r="P88" s="1">
        <v>48.3</v>
      </c>
      <c r="Q88" s="15">
        <v>4.2</v>
      </c>
    </row>
    <row r="89" spans="1:17" x14ac:dyDescent="0.25">
      <c r="A89" s="122">
        <v>87</v>
      </c>
      <c r="B89" s="1">
        <v>3.4</v>
      </c>
      <c r="C89" s="1">
        <v>6.1</v>
      </c>
      <c r="D89" s="1">
        <v>53.7</v>
      </c>
      <c r="E89" s="15">
        <v>2.81</v>
      </c>
      <c r="F89" s="1">
        <v>3.4</v>
      </c>
      <c r="G89" s="1">
        <v>6.1</v>
      </c>
      <c r="H89" s="1">
        <v>49.5</v>
      </c>
      <c r="I89" s="15">
        <v>2.83</v>
      </c>
      <c r="J89" s="1">
        <v>3.4</v>
      </c>
      <c r="K89" s="1">
        <v>5.9</v>
      </c>
      <c r="L89" s="1">
        <v>48.5</v>
      </c>
      <c r="M89" s="15">
        <v>3.69</v>
      </c>
      <c r="N89" s="1">
        <v>3.4</v>
      </c>
      <c r="O89" s="1">
        <v>5.8</v>
      </c>
      <c r="P89" s="1">
        <v>47.6</v>
      </c>
      <c r="Q89" s="15">
        <v>2.0699999999999998</v>
      </c>
    </row>
    <row r="90" spans="1:17" x14ac:dyDescent="0.25">
      <c r="A90" s="122">
        <v>88</v>
      </c>
      <c r="B90" s="1">
        <v>3.4</v>
      </c>
      <c r="C90" s="1">
        <v>5.8</v>
      </c>
      <c r="D90" s="1">
        <v>53.7</v>
      </c>
      <c r="E90" s="15">
        <v>2.89</v>
      </c>
      <c r="F90" s="1">
        <v>3.4</v>
      </c>
      <c r="G90" s="1">
        <v>5.7</v>
      </c>
      <c r="H90" s="1">
        <v>49.7</v>
      </c>
      <c r="I90" s="15">
        <v>2.87</v>
      </c>
      <c r="J90" s="1">
        <v>3.4</v>
      </c>
      <c r="K90" s="1">
        <v>5.9</v>
      </c>
      <c r="L90" s="1">
        <v>48.3</v>
      </c>
      <c r="M90" s="15">
        <v>3.37</v>
      </c>
      <c r="N90" s="1">
        <v>3.4</v>
      </c>
      <c r="O90" s="1">
        <v>6.3</v>
      </c>
      <c r="P90" s="1">
        <v>47.4</v>
      </c>
      <c r="Q90" s="15">
        <v>1.97</v>
      </c>
    </row>
    <row r="91" spans="1:17" x14ac:dyDescent="0.25">
      <c r="A91" s="122">
        <v>89</v>
      </c>
      <c r="B91" s="1">
        <v>3.4</v>
      </c>
      <c r="C91" s="1">
        <v>6.3</v>
      </c>
      <c r="D91" s="1">
        <v>53.5</v>
      </c>
      <c r="E91" s="15">
        <v>2.93</v>
      </c>
      <c r="F91" s="1">
        <v>3.4</v>
      </c>
      <c r="G91" s="1">
        <v>6.3</v>
      </c>
      <c r="H91" s="1">
        <v>49.8</v>
      </c>
      <c r="I91" s="15">
        <v>2.9</v>
      </c>
      <c r="J91" s="1">
        <v>3.4</v>
      </c>
      <c r="K91" s="1">
        <v>6.3</v>
      </c>
      <c r="L91" s="1">
        <v>48.2</v>
      </c>
      <c r="M91" s="15">
        <v>3.34</v>
      </c>
      <c r="N91" s="1">
        <v>3.4</v>
      </c>
      <c r="O91" s="1">
        <v>6.2</v>
      </c>
      <c r="P91" s="1">
        <v>49.1</v>
      </c>
      <c r="Q91" s="15">
        <v>2.04</v>
      </c>
    </row>
    <row r="92" spans="1:17" x14ac:dyDescent="0.25">
      <c r="A92" s="122">
        <v>90</v>
      </c>
      <c r="B92" s="1">
        <v>3.4</v>
      </c>
      <c r="C92" s="1">
        <v>6.2</v>
      </c>
      <c r="D92" s="1">
        <v>53.3</v>
      </c>
      <c r="E92" s="15">
        <v>2.82</v>
      </c>
      <c r="F92" s="1">
        <v>3.4</v>
      </c>
      <c r="G92" s="1">
        <v>6.2</v>
      </c>
      <c r="H92" s="1">
        <v>50</v>
      </c>
      <c r="I92" s="15">
        <v>2.87</v>
      </c>
      <c r="J92" s="1">
        <v>3.4</v>
      </c>
      <c r="K92" s="1">
        <v>6.1</v>
      </c>
      <c r="L92" s="1">
        <v>48.3</v>
      </c>
      <c r="M92" s="15">
        <v>3.26</v>
      </c>
      <c r="N92" s="1">
        <v>3.4</v>
      </c>
      <c r="O92" s="1">
        <v>6</v>
      </c>
      <c r="P92" s="1">
        <v>46.9</v>
      </c>
      <c r="Q92" s="15">
        <v>1.87</v>
      </c>
    </row>
    <row r="93" spans="1:17" x14ac:dyDescent="0.25">
      <c r="A93" s="122">
        <v>91</v>
      </c>
      <c r="B93" s="1">
        <v>3.4</v>
      </c>
      <c r="C93" s="1">
        <v>6</v>
      </c>
      <c r="D93" s="1">
        <v>53.2</v>
      </c>
      <c r="E93" s="15">
        <v>2.86</v>
      </c>
      <c r="F93" s="1">
        <v>3.4</v>
      </c>
      <c r="G93" s="1">
        <v>6</v>
      </c>
      <c r="H93" s="1">
        <v>49.2</v>
      </c>
      <c r="I93" s="15">
        <v>2.92</v>
      </c>
      <c r="J93" s="1">
        <v>3.4</v>
      </c>
      <c r="K93" s="1">
        <v>5.9</v>
      </c>
      <c r="L93" s="1">
        <v>48.2</v>
      </c>
      <c r="M93" s="15">
        <v>2.71</v>
      </c>
      <c r="N93" s="1">
        <v>3.4</v>
      </c>
      <c r="O93" s="1">
        <v>5.7</v>
      </c>
      <c r="P93" s="1">
        <v>49.1</v>
      </c>
      <c r="Q93" s="15">
        <v>3.19</v>
      </c>
    </row>
    <row r="94" spans="1:17" x14ac:dyDescent="0.25">
      <c r="A94" s="122">
        <v>92</v>
      </c>
      <c r="B94" s="1">
        <v>3.4</v>
      </c>
      <c r="C94" s="1">
        <v>5.7</v>
      </c>
      <c r="D94" s="1">
        <v>53.2</v>
      </c>
      <c r="E94" s="15">
        <v>2.87</v>
      </c>
      <c r="F94" s="1">
        <v>3.4</v>
      </c>
      <c r="G94" s="1">
        <v>5.7</v>
      </c>
      <c r="H94" s="1">
        <v>48.9</v>
      </c>
      <c r="I94" s="15">
        <v>2.98</v>
      </c>
      <c r="J94" s="1">
        <v>3.4</v>
      </c>
      <c r="K94" s="1">
        <v>6.2</v>
      </c>
      <c r="L94" s="1">
        <v>48</v>
      </c>
      <c r="M94" s="15">
        <v>2.33</v>
      </c>
      <c r="N94" s="1">
        <v>3.4</v>
      </c>
      <c r="O94" s="1">
        <v>6.3</v>
      </c>
      <c r="P94" s="1">
        <v>48.9</v>
      </c>
      <c r="Q94" s="15">
        <v>2.5299999999999998</v>
      </c>
    </row>
    <row r="95" spans="1:17" x14ac:dyDescent="0.25">
      <c r="A95" s="122">
        <v>93</v>
      </c>
      <c r="B95" s="1">
        <v>3.4</v>
      </c>
      <c r="C95" s="1">
        <v>6.3</v>
      </c>
      <c r="D95" s="1">
        <v>53</v>
      </c>
      <c r="E95" s="15">
        <v>2.84</v>
      </c>
      <c r="F95" s="1">
        <v>3.4</v>
      </c>
      <c r="G95" s="1">
        <v>6.2</v>
      </c>
      <c r="H95" s="1">
        <v>48.7</v>
      </c>
      <c r="I95" s="15">
        <v>2.96</v>
      </c>
      <c r="J95" s="1">
        <v>3.4</v>
      </c>
      <c r="K95" s="1">
        <v>6.2</v>
      </c>
      <c r="L95" s="1">
        <v>47.9</v>
      </c>
      <c r="M95" s="15">
        <v>1.96</v>
      </c>
      <c r="N95" s="1">
        <v>3.4</v>
      </c>
      <c r="O95" s="1">
        <v>6.2</v>
      </c>
      <c r="P95" s="1">
        <v>48.9</v>
      </c>
      <c r="Q95" s="15">
        <v>2.46</v>
      </c>
    </row>
    <row r="96" spans="1:17" x14ac:dyDescent="0.25">
      <c r="A96" s="122">
        <v>94</v>
      </c>
      <c r="B96" s="1">
        <v>3.4</v>
      </c>
      <c r="C96" s="1">
        <v>6.2</v>
      </c>
      <c r="D96" s="1">
        <v>52.8</v>
      </c>
      <c r="E96" s="15">
        <v>2.84</v>
      </c>
      <c r="F96" s="1">
        <v>3.4</v>
      </c>
      <c r="G96" s="1">
        <v>6.1</v>
      </c>
      <c r="H96" s="1">
        <v>48.5</v>
      </c>
      <c r="I96" s="15">
        <v>2.95</v>
      </c>
      <c r="J96" s="1">
        <v>3.4</v>
      </c>
      <c r="K96" s="1">
        <v>6.1</v>
      </c>
      <c r="L96" s="1">
        <v>48</v>
      </c>
      <c r="M96" s="15">
        <v>2.1</v>
      </c>
      <c r="N96" s="1">
        <v>3.4</v>
      </c>
      <c r="O96" s="1">
        <v>6</v>
      </c>
      <c r="P96" s="1">
        <v>49.1</v>
      </c>
      <c r="Q96" s="15">
        <v>4.45</v>
      </c>
    </row>
    <row r="97" spans="1:17" x14ac:dyDescent="0.25">
      <c r="A97" s="122">
        <v>95</v>
      </c>
      <c r="B97" s="1">
        <v>3.4</v>
      </c>
      <c r="C97" s="1">
        <v>5.9</v>
      </c>
      <c r="D97" s="1">
        <v>52.6</v>
      </c>
      <c r="E97" s="15">
        <v>2.87</v>
      </c>
      <c r="F97" s="1">
        <v>3.4</v>
      </c>
      <c r="G97" s="1">
        <v>5.9</v>
      </c>
      <c r="H97" s="1">
        <v>48.4</v>
      </c>
      <c r="I97" s="15">
        <v>2.93</v>
      </c>
      <c r="J97" s="1">
        <v>3.4</v>
      </c>
      <c r="K97" s="1">
        <v>5.9</v>
      </c>
      <c r="L97" s="1">
        <v>48.2</v>
      </c>
      <c r="M97" s="15">
        <v>2.08</v>
      </c>
      <c r="N97" s="1">
        <v>3.4</v>
      </c>
      <c r="O97" s="1">
        <v>5.8</v>
      </c>
      <c r="P97" s="1">
        <v>46.5</v>
      </c>
      <c r="Q97" s="15">
        <v>1.71</v>
      </c>
    </row>
    <row r="98" spans="1:17" x14ac:dyDescent="0.25">
      <c r="A98" s="122">
        <v>96</v>
      </c>
      <c r="B98" s="1">
        <v>3.4</v>
      </c>
      <c r="C98" s="1">
        <v>5.8</v>
      </c>
      <c r="D98" s="1">
        <v>52.4</v>
      </c>
      <c r="E98" s="15">
        <v>2.93</v>
      </c>
      <c r="F98" s="1">
        <v>3.4</v>
      </c>
      <c r="G98" s="1">
        <v>6.1</v>
      </c>
      <c r="H98" s="1">
        <v>48.4</v>
      </c>
      <c r="I98" s="15">
        <v>2.92</v>
      </c>
      <c r="J98" s="1">
        <v>3.4</v>
      </c>
      <c r="K98" s="1">
        <v>6.2</v>
      </c>
      <c r="L98" s="1">
        <v>47.9</v>
      </c>
      <c r="M98" s="15">
        <v>2.0499999999999998</v>
      </c>
      <c r="N98" s="1">
        <v>3.4</v>
      </c>
      <c r="O98" s="1">
        <v>6.2</v>
      </c>
      <c r="P98" s="1">
        <v>49.2</v>
      </c>
      <c r="Q98" s="15">
        <v>2.97</v>
      </c>
    </row>
    <row r="99" spans="1:17" x14ac:dyDescent="0.25">
      <c r="A99" s="122">
        <v>97</v>
      </c>
      <c r="B99" s="1">
        <v>3.4</v>
      </c>
      <c r="C99" s="1">
        <v>6.2</v>
      </c>
      <c r="D99" s="1">
        <v>52</v>
      </c>
      <c r="E99" s="15">
        <v>2.86</v>
      </c>
      <c r="F99" s="1">
        <v>3.4</v>
      </c>
      <c r="G99" s="1">
        <v>6.2</v>
      </c>
      <c r="H99" s="1">
        <v>48.5</v>
      </c>
      <c r="I99" s="15">
        <v>2.86</v>
      </c>
      <c r="J99" s="1">
        <v>3.4</v>
      </c>
      <c r="K99" s="1">
        <v>6.2</v>
      </c>
      <c r="L99" s="1">
        <v>47.6</v>
      </c>
      <c r="M99" s="15">
        <v>2.33</v>
      </c>
      <c r="N99" s="1">
        <v>3.4</v>
      </c>
      <c r="O99" s="1">
        <v>6.1</v>
      </c>
      <c r="P99" s="1">
        <v>49.1</v>
      </c>
      <c r="Q99" s="15">
        <v>3.02</v>
      </c>
    </row>
    <row r="100" spans="1:17" x14ac:dyDescent="0.25">
      <c r="A100" s="122">
        <v>98</v>
      </c>
      <c r="B100" s="1">
        <v>3.4</v>
      </c>
      <c r="C100" s="1">
        <v>6.1</v>
      </c>
      <c r="D100" s="1">
        <v>51.7</v>
      </c>
      <c r="E100" s="15">
        <v>2.86</v>
      </c>
      <c r="F100" s="1">
        <v>3.4</v>
      </c>
      <c r="G100" s="1">
        <v>6.1</v>
      </c>
      <c r="H100" s="1">
        <v>48.8</v>
      </c>
      <c r="I100" s="15">
        <v>2.84</v>
      </c>
      <c r="J100" s="1">
        <v>3.4</v>
      </c>
      <c r="K100" s="1">
        <v>6.1</v>
      </c>
      <c r="L100" s="1">
        <v>47.8</v>
      </c>
      <c r="M100" s="15">
        <v>2.19</v>
      </c>
      <c r="N100" s="1">
        <v>3.4</v>
      </c>
      <c r="O100" s="1">
        <v>5.9</v>
      </c>
      <c r="P100" s="1">
        <v>50.2</v>
      </c>
      <c r="Q100" s="15">
        <v>3.29</v>
      </c>
    </row>
    <row r="101" spans="1:17" x14ac:dyDescent="0.25">
      <c r="A101" s="122">
        <v>99</v>
      </c>
      <c r="B101" s="1">
        <v>3.4</v>
      </c>
      <c r="C101" s="1">
        <v>5.9</v>
      </c>
      <c r="D101" s="1">
        <v>51.5</v>
      </c>
      <c r="E101" s="15">
        <v>2.9</v>
      </c>
      <c r="F101" s="1">
        <v>3.4</v>
      </c>
      <c r="G101" s="1">
        <v>5.8</v>
      </c>
      <c r="H101" s="1">
        <v>49.2</v>
      </c>
      <c r="I101" s="15">
        <v>2.79</v>
      </c>
      <c r="J101" s="1">
        <v>3.4</v>
      </c>
      <c r="K101" s="1">
        <v>5.9</v>
      </c>
      <c r="L101" s="1">
        <v>47.9</v>
      </c>
      <c r="M101" s="15">
        <v>2.2400000000000002</v>
      </c>
      <c r="N101" s="1">
        <v>3.4</v>
      </c>
      <c r="O101" s="1">
        <v>6.2</v>
      </c>
      <c r="P101" s="1">
        <v>49</v>
      </c>
      <c r="Q101" s="15">
        <v>2.27</v>
      </c>
    </row>
    <row r="102" spans="1:17" x14ac:dyDescent="0.25">
      <c r="A102" s="122">
        <v>100</v>
      </c>
      <c r="B102" s="1">
        <v>3.4</v>
      </c>
      <c r="C102" s="1">
        <v>6.2</v>
      </c>
      <c r="D102" s="1">
        <v>51.5</v>
      </c>
      <c r="E102" s="15">
        <v>2.84</v>
      </c>
      <c r="F102" s="1">
        <v>3.4</v>
      </c>
      <c r="G102" s="1">
        <v>6.3</v>
      </c>
      <c r="H102" s="1">
        <v>49.7</v>
      </c>
      <c r="I102" s="15">
        <v>2.83</v>
      </c>
      <c r="J102" s="1">
        <v>3.4</v>
      </c>
      <c r="K102" s="1">
        <v>6.2</v>
      </c>
      <c r="L102" s="1">
        <v>48.1</v>
      </c>
      <c r="M102" s="15">
        <v>2.2400000000000002</v>
      </c>
      <c r="N102" s="1">
        <v>3.4</v>
      </c>
      <c r="O102" s="1">
        <v>6.2</v>
      </c>
      <c r="P102" s="1">
        <v>49.1</v>
      </c>
      <c r="Q102" s="15">
        <v>2.37</v>
      </c>
    </row>
    <row r="103" spans="1:17" x14ac:dyDescent="0.25">
      <c r="A103" s="122">
        <v>101</v>
      </c>
      <c r="B103" s="1">
        <v>3.4</v>
      </c>
      <c r="C103" s="1">
        <v>6.1</v>
      </c>
      <c r="D103" s="1">
        <v>51.5</v>
      </c>
      <c r="E103" s="15">
        <v>2.83</v>
      </c>
      <c r="F103" s="1">
        <v>3.4</v>
      </c>
      <c r="G103" s="1">
        <v>6.2</v>
      </c>
      <c r="H103" s="1">
        <v>50</v>
      </c>
      <c r="I103" s="15">
        <v>2.86</v>
      </c>
      <c r="J103" s="1">
        <v>3.4</v>
      </c>
      <c r="K103" s="1">
        <v>6.2</v>
      </c>
      <c r="L103" s="1">
        <v>48.1</v>
      </c>
      <c r="M103" s="15">
        <v>2.27</v>
      </c>
      <c r="N103" s="1">
        <v>3.4</v>
      </c>
      <c r="O103" s="1">
        <v>6.1</v>
      </c>
      <c r="P103" s="1">
        <v>46.7</v>
      </c>
      <c r="Q103" s="15">
        <v>1.82</v>
      </c>
    </row>
    <row r="104" spans="1:17" x14ac:dyDescent="0.25">
      <c r="A104" s="122">
        <v>102</v>
      </c>
      <c r="B104" s="1">
        <v>3.4</v>
      </c>
      <c r="C104" s="1">
        <v>5.8</v>
      </c>
      <c r="D104" s="1">
        <v>51.6</v>
      </c>
      <c r="E104" s="15">
        <v>2.86</v>
      </c>
      <c r="F104" s="1">
        <v>3.4</v>
      </c>
      <c r="G104" s="1">
        <v>6</v>
      </c>
      <c r="H104" s="1">
        <v>50.2</v>
      </c>
      <c r="I104" s="15">
        <v>2.84</v>
      </c>
      <c r="J104" s="1">
        <v>3.4</v>
      </c>
      <c r="K104" s="1">
        <v>6.1</v>
      </c>
      <c r="L104" s="1">
        <v>48</v>
      </c>
      <c r="M104" s="15">
        <v>2.33</v>
      </c>
      <c r="N104" s="1">
        <v>3.4</v>
      </c>
      <c r="O104" s="1">
        <v>5.7</v>
      </c>
      <c r="P104" s="1">
        <v>50.4</v>
      </c>
      <c r="Q104" s="15">
        <v>2.2999999999999998</v>
      </c>
    </row>
    <row r="105" spans="1:17" x14ac:dyDescent="0.25">
      <c r="A105" s="122">
        <v>103</v>
      </c>
      <c r="B105" s="1">
        <v>3.4</v>
      </c>
      <c r="C105" s="1">
        <v>6.3</v>
      </c>
      <c r="D105" s="1">
        <v>51.9</v>
      </c>
      <c r="E105" s="15">
        <v>2.95</v>
      </c>
      <c r="F105" s="1">
        <v>3.4</v>
      </c>
      <c r="G105" s="1">
        <v>5.7</v>
      </c>
      <c r="H105" s="1">
        <v>50</v>
      </c>
      <c r="I105" s="15">
        <v>3.03</v>
      </c>
      <c r="J105" s="1">
        <v>3.4</v>
      </c>
      <c r="K105" s="1">
        <v>5.9</v>
      </c>
      <c r="L105" s="1">
        <v>48.1</v>
      </c>
      <c r="M105" s="15">
        <v>2.39</v>
      </c>
      <c r="N105" s="1">
        <v>3.4</v>
      </c>
      <c r="O105" s="1">
        <v>6.3</v>
      </c>
      <c r="P105" s="1">
        <v>48.5</v>
      </c>
      <c r="Q105" s="15">
        <v>1.88</v>
      </c>
    </row>
    <row r="106" spans="1:17" x14ac:dyDescent="0.25">
      <c r="A106" s="122">
        <v>104</v>
      </c>
      <c r="B106" s="1">
        <v>3.4</v>
      </c>
      <c r="C106" s="1">
        <v>6.2</v>
      </c>
      <c r="D106" s="1">
        <v>51.9</v>
      </c>
      <c r="E106" s="15">
        <v>2.92</v>
      </c>
      <c r="F106" s="1">
        <v>3.4</v>
      </c>
      <c r="G106" s="1">
        <v>6.3</v>
      </c>
      <c r="H106" s="1">
        <v>49.5</v>
      </c>
      <c r="I106" s="15">
        <v>3.07</v>
      </c>
      <c r="J106" s="1">
        <v>3.4</v>
      </c>
      <c r="K106" s="1">
        <v>6.1</v>
      </c>
      <c r="L106" s="1">
        <v>48</v>
      </c>
      <c r="M106" s="15">
        <v>2.41</v>
      </c>
      <c r="N106" s="1">
        <v>3.4</v>
      </c>
      <c r="O106" s="1">
        <v>6.2</v>
      </c>
      <c r="P106" s="1">
        <v>48.6</v>
      </c>
      <c r="Q106" s="15">
        <v>1.94</v>
      </c>
    </row>
    <row r="107" spans="1:17" x14ac:dyDescent="0.25">
      <c r="A107" s="122">
        <v>105</v>
      </c>
      <c r="B107" s="1">
        <v>3.4</v>
      </c>
      <c r="C107" s="1">
        <v>6.1</v>
      </c>
      <c r="D107" s="1">
        <v>52.1</v>
      </c>
      <c r="E107" s="15">
        <v>2.9</v>
      </c>
      <c r="F107" s="1">
        <v>3.4</v>
      </c>
      <c r="G107" s="1">
        <v>6.2</v>
      </c>
      <c r="H107" s="1">
        <v>49</v>
      </c>
      <c r="I107" s="15">
        <v>3.07</v>
      </c>
      <c r="J107" s="1">
        <v>3.4</v>
      </c>
      <c r="K107" s="1">
        <v>6.2</v>
      </c>
      <c r="L107" s="1">
        <v>47.8</v>
      </c>
      <c r="M107" s="15">
        <v>2.2799999999999998</v>
      </c>
      <c r="N107" s="1">
        <v>3.4</v>
      </c>
      <c r="O107" s="1">
        <v>5.8</v>
      </c>
      <c r="P107" s="1">
        <v>48.7</v>
      </c>
      <c r="Q107" s="15">
        <v>1.99</v>
      </c>
    </row>
    <row r="108" spans="1:17" x14ac:dyDescent="0.25">
      <c r="A108" s="122">
        <v>106</v>
      </c>
      <c r="B108" s="1">
        <v>3.4</v>
      </c>
      <c r="C108" s="1">
        <v>5.7</v>
      </c>
      <c r="D108" s="1">
        <v>52.4</v>
      </c>
      <c r="E108" s="15">
        <v>3.01</v>
      </c>
      <c r="F108" s="1">
        <v>3.4</v>
      </c>
      <c r="G108" s="1">
        <v>5.9</v>
      </c>
      <c r="H108" s="1">
        <v>48.7</v>
      </c>
      <c r="I108" s="15">
        <v>2.98</v>
      </c>
      <c r="J108" s="1">
        <v>3.4</v>
      </c>
      <c r="K108" s="1">
        <v>6.1</v>
      </c>
      <c r="L108" s="1">
        <v>47.8</v>
      </c>
      <c r="M108" s="15">
        <v>2.27</v>
      </c>
      <c r="N108" s="1">
        <v>3.4</v>
      </c>
      <c r="O108" s="1">
        <v>6.3</v>
      </c>
      <c r="P108" s="1">
        <v>47.3</v>
      </c>
      <c r="Q108" s="15">
        <v>1.68</v>
      </c>
    </row>
    <row r="109" spans="1:17" x14ac:dyDescent="0.25">
      <c r="A109" s="122">
        <v>107</v>
      </c>
      <c r="B109" s="1">
        <v>3.4</v>
      </c>
      <c r="C109" s="1">
        <v>6.3</v>
      </c>
      <c r="D109" s="1">
        <v>52.5</v>
      </c>
      <c r="E109" s="15">
        <v>2.98</v>
      </c>
      <c r="F109" s="1">
        <v>3.4</v>
      </c>
      <c r="G109" s="1">
        <v>5.9</v>
      </c>
      <c r="H109" s="1">
        <v>48.6</v>
      </c>
      <c r="I109" s="15">
        <v>2.92</v>
      </c>
      <c r="J109" s="1">
        <v>3.4</v>
      </c>
      <c r="K109" s="1">
        <v>5.4</v>
      </c>
      <c r="L109" s="1">
        <v>47.6</v>
      </c>
      <c r="M109" s="15">
        <v>2.41</v>
      </c>
      <c r="N109" s="1">
        <v>3.4</v>
      </c>
      <c r="O109" s="1">
        <v>6.2</v>
      </c>
      <c r="P109" s="1">
        <v>50.6</v>
      </c>
      <c r="Q109" s="15">
        <v>3.77</v>
      </c>
    </row>
    <row r="110" spans="1:17" x14ac:dyDescent="0.25">
      <c r="A110" s="122">
        <v>108</v>
      </c>
      <c r="B110" s="1">
        <v>3.4</v>
      </c>
      <c r="C110" s="1">
        <v>6.2</v>
      </c>
      <c r="D110" s="1">
        <v>52.6</v>
      </c>
      <c r="E110" s="15">
        <v>2.89</v>
      </c>
      <c r="F110" s="1">
        <v>3.4</v>
      </c>
      <c r="G110" s="1">
        <v>6.2</v>
      </c>
      <c r="H110" s="1">
        <v>48.3</v>
      </c>
      <c r="I110" s="15">
        <v>2.87</v>
      </c>
      <c r="J110" s="1">
        <v>3.4</v>
      </c>
      <c r="K110" s="1">
        <v>6.3</v>
      </c>
      <c r="L110" s="1">
        <v>49</v>
      </c>
      <c r="M110" s="15">
        <v>2.36</v>
      </c>
      <c r="N110" s="1">
        <v>3.4</v>
      </c>
      <c r="O110" s="1">
        <v>6</v>
      </c>
      <c r="P110" s="1">
        <v>49.5</v>
      </c>
      <c r="Q110" s="15">
        <v>3.18</v>
      </c>
    </row>
    <row r="111" spans="1:17" x14ac:dyDescent="0.25">
      <c r="A111" s="122">
        <v>109</v>
      </c>
      <c r="B111" s="1">
        <v>3.4</v>
      </c>
      <c r="C111" s="1">
        <v>6</v>
      </c>
      <c r="D111" s="1">
        <v>52.8</v>
      </c>
      <c r="E111" s="15">
        <v>2.96</v>
      </c>
      <c r="F111" s="1">
        <v>3.4</v>
      </c>
      <c r="G111" s="1">
        <v>6.1</v>
      </c>
      <c r="H111" s="1">
        <v>48</v>
      </c>
      <c r="I111" s="15">
        <v>2.9</v>
      </c>
      <c r="J111" s="1">
        <v>3.4</v>
      </c>
      <c r="K111" s="1">
        <v>6.2</v>
      </c>
      <c r="L111" s="1">
        <v>50.1</v>
      </c>
      <c r="M111" s="15">
        <v>2.36</v>
      </c>
      <c r="N111" s="1">
        <v>3.4</v>
      </c>
      <c r="O111" s="1">
        <v>5.7</v>
      </c>
      <c r="P111" s="1">
        <v>49.5</v>
      </c>
      <c r="Q111" s="15">
        <v>3.43</v>
      </c>
    </row>
    <row r="112" spans="1:17" x14ac:dyDescent="0.25">
      <c r="A112" s="122">
        <v>110</v>
      </c>
      <c r="B112" s="1">
        <v>3.4</v>
      </c>
      <c r="C112" s="1">
        <v>5.7</v>
      </c>
      <c r="D112" s="1">
        <v>52.9</v>
      </c>
      <c r="E112" s="15">
        <v>2.98</v>
      </c>
      <c r="F112" s="1">
        <v>3.4</v>
      </c>
      <c r="G112" s="1">
        <v>5.8</v>
      </c>
      <c r="H112" s="1">
        <v>47.8</v>
      </c>
      <c r="I112" s="15">
        <v>2.81</v>
      </c>
      <c r="J112" s="1">
        <v>3.5</v>
      </c>
      <c r="K112" s="1">
        <v>5.7</v>
      </c>
      <c r="L112" s="1">
        <v>49.4</v>
      </c>
      <c r="M112" s="15">
        <v>2.99</v>
      </c>
      <c r="N112" s="1">
        <v>3.4</v>
      </c>
      <c r="O112" s="1">
        <v>6.2</v>
      </c>
      <c r="P112" s="1">
        <v>46.4</v>
      </c>
      <c r="Q112" s="15">
        <v>1.42</v>
      </c>
    </row>
    <row r="113" spans="1:17" x14ac:dyDescent="0.25">
      <c r="A113" s="122">
        <v>111</v>
      </c>
      <c r="B113" s="1">
        <v>3.4</v>
      </c>
      <c r="C113" s="1">
        <v>6.2</v>
      </c>
      <c r="D113" s="1">
        <v>52.9</v>
      </c>
      <c r="E113" s="15">
        <v>2.92</v>
      </c>
      <c r="F113" s="1">
        <v>3.4</v>
      </c>
      <c r="G113" s="1">
        <v>6.2</v>
      </c>
      <c r="H113" s="1">
        <v>47.6</v>
      </c>
      <c r="I113" s="15">
        <v>2.79</v>
      </c>
      <c r="J113" s="1">
        <v>3.4</v>
      </c>
      <c r="K113" s="1">
        <v>6.3</v>
      </c>
      <c r="L113" s="1">
        <v>50.8</v>
      </c>
      <c r="M113" s="15">
        <v>2.4500000000000002</v>
      </c>
      <c r="N113" s="1">
        <v>3.4</v>
      </c>
      <c r="O113" s="1">
        <v>6.2</v>
      </c>
      <c r="P113" s="1">
        <v>49.1</v>
      </c>
      <c r="Q113" s="15">
        <v>2.16</v>
      </c>
    </row>
    <row r="114" spans="1:17" x14ac:dyDescent="0.25">
      <c r="A114" s="122">
        <v>112</v>
      </c>
      <c r="B114" s="1">
        <v>3.4</v>
      </c>
      <c r="C114" s="1">
        <v>6.1</v>
      </c>
      <c r="D114" s="1">
        <v>52.9</v>
      </c>
      <c r="E114" s="15">
        <v>2.99</v>
      </c>
      <c r="F114" s="1">
        <v>3.4</v>
      </c>
      <c r="G114" s="1">
        <v>6.1</v>
      </c>
      <c r="H114" s="1">
        <v>47.3</v>
      </c>
      <c r="I114" s="15">
        <v>2.78</v>
      </c>
      <c r="J114" s="1">
        <v>3.4</v>
      </c>
      <c r="K114" s="1">
        <v>6.2</v>
      </c>
      <c r="L114" s="1">
        <v>50.1</v>
      </c>
      <c r="M114" s="15">
        <v>2.3199999999999998</v>
      </c>
      <c r="N114" s="1">
        <v>3.4</v>
      </c>
      <c r="O114" s="1">
        <v>5.9</v>
      </c>
      <c r="P114" s="1">
        <v>48.8</v>
      </c>
      <c r="Q114" s="15">
        <v>2.0099999999999998</v>
      </c>
    </row>
    <row r="115" spans="1:17" x14ac:dyDescent="0.25">
      <c r="A115" s="122">
        <v>113</v>
      </c>
      <c r="B115" s="1">
        <v>3.4</v>
      </c>
      <c r="C115" s="1">
        <v>5.9</v>
      </c>
      <c r="D115" s="1">
        <v>52.9</v>
      </c>
      <c r="E115" s="15">
        <v>2.95</v>
      </c>
      <c r="F115" s="1">
        <v>3.4</v>
      </c>
      <c r="G115" s="1">
        <v>5.9</v>
      </c>
      <c r="H115" s="1">
        <v>47.1</v>
      </c>
      <c r="I115" s="15">
        <v>2.81</v>
      </c>
      <c r="J115" s="1">
        <v>3.4</v>
      </c>
      <c r="K115" s="1">
        <v>6</v>
      </c>
      <c r="L115" s="1">
        <v>48.7</v>
      </c>
      <c r="M115" s="15">
        <v>2.27</v>
      </c>
      <c r="N115" s="1">
        <v>3.4</v>
      </c>
      <c r="O115" s="1">
        <v>6.2</v>
      </c>
      <c r="P115" s="1">
        <v>48.8</v>
      </c>
      <c r="Q115" s="15">
        <v>1.94</v>
      </c>
    </row>
    <row r="116" spans="1:17" x14ac:dyDescent="0.25">
      <c r="A116" s="122">
        <v>114</v>
      </c>
      <c r="B116" s="1">
        <v>3.4</v>
      </c>
      <c r="C116" s="1">
        <v>6.2</v>
      </c>
      <c r="D116" s="1">
        <v>53.1</v>
      </c>
      <c r="E116" s="15">
        <v>2.95</v>
      </c>
      <c r="F116" s="1">
        <v>3.4</v>
      </c>
      <c r="G116" s="1">
        <v>6.2</v>
      </c>
      <c r="H116" s="1">
        <v>46.9</v>
      </c>
      <c r="I116" s="15">
        <v>2.81</v>
      </c>
      <c r="J116" s="1">
        <v>3.4</v>
      </c>
      <c r="K116" s="1">
        <v>5.7</v>
      </c>
      <c r="L116" s="1">
        <v>47.7</v>
      </c>
      <c r="M116" s="15">
        <v>2.4500000000000002</v>
      </c>
      <c r="N116" s="1">
        <v>3.4</v>
      </c>
      <c r="O116" s="1">
        <v>6.2</v>
      </c>
      <c r="P116" s="1">
        <v>49</v>
      </c>
      <c r="Q116" s="15">
        <v>1.96</v>
      </c>
    </row>
    <row r="117" spans="1:17" x14ac:dyDescent="0.25">
      <c r="A117" s="122">
        <v>115</v>
      </c>
      <c r="B117" s="1">
        <v>3.4</v>
      </c>
      <c r="C117" s="1">
        <v>6.2</v>
      </c>
      <c r="D117" s="1">
        <v>53</v>
      </c>
      <c r="E117" s="15">
        <v>2.95</v>
      </c>
      <c r="F117" s="1">
        <v>3.4</v>
      </c>
      <c r="G117" s="1">
        <v>6.2</v>
      </c>
      <c r="H117" s="1">
        <v>46.6</v>
      </c>
      <c r="I117" s="15">
        <v>2.66</v>
      </c>
      <c r="J117" s="1">
        <v>3.4</v>
      </c>
      <c r="K117" s="1">
        <v>6.3</v>
      </c>
      <c r="L117" s="1">
        <v>47.4</v>
      </c>
      <c r="M117" s="15">
        <v>2.2400000000000002</v>
      </c>
      <c r="N117" s="1">
        <v>3.4</v>
      </c>
      <c r="O117" s="1">
        <v>6.1</v>
      </c>
      <c r="P117" s="1">
        <v>47.6</v>
      </c>
      <c r="Q117" s="15">
        <v>1.73</v>
      </c>
    </row>
    <row r="118" spans="1:17" x14ac:dyDescent="0.25">
      <c r="A118" s="122">
        <v>116</v>
      </c>
      <c r="B118" s="1">
        <v>3.4</v>
      </c>
      <c r="C118" s="1">
        <v>6.1</v>
      </c>
      <c r="D118" s="1">
        <v>52.9</v>
      </c>
      <c r="E118" s="15">
        <v>2.99</v>
      </c>
      <c r="F118" s="1">
        <v>3.4</v>
      </c>
      <c r="G118" s="1">
        <v>6.1</v>
      </c>
      <c r="H118" s="1">
        <v>46.3</v>
      </c>
      <c r="I118" s="15">
        <v>2.67</v>
      </c>
      <c r="J118" s="1">
        <v>3.4</v>
      </c>
      <c r="K118" s="1">
        <v>6.2</v>
      </c>
      <c r="L118" s="1">
        <v>47.5</v>
      </c>
      <c r="M118" s="15">
        <v>2.13</v>
      </c>
      <c r="N118" s="1">
        <v>3.4</v>
      </c>
      <c r="O118" s="1">
        <v>5.6</v>
      </c>
      <c r="P118" s="1">
        <v>49.4</v>
      </c>
      <c r="Q118" s="15">
        <v>3.96</v>
      </c>
    </row>
    <row r="119" spans="1:17" x14ac:dyDescent="0.25">
      <c r="A119" s="122">
        <v>117</v>
      </c>
      <c r="B119" s="1">
        <v>3.4</v>
      </c>
      <c r="C119" s="1">
        <v>5.8</v>
      </c>
      <c r="D119" s="1">
        <v>53</v>
      </c>
      <c r="E119" s="15">
        <v>2.92</v>
      </c>
      <c r="F119" s="1">
        <v>3.4</v>
      </c>
      <c r="G119" s="1">
        <v>5.8</v>
      </c>
      <c r="H119" s="1">
        <v>46.1</v>
      </c>
      <c r="I119" s="15">
        <v>2.7</v>
      </c>
      <c r="J119" s="1">
        <v>3.4</v>
      </c>
      <c r="K119" s="1">
        <v>6</v>
      </c>
      <c r="L119" s="1">
        <v>47.5</v>
      </c>
      <c r="M119" s="15">
        <v>2.25</v>
      </c>
      <c r="N119" s="1">
        <v>3.4</v>
      </c>
      <c r="O119" s="1">
        <v>6.3</v>
      </c>
      <c r="P119" s="1">
        <v>50.4</v>
      </c>
      <c r="Q119" s="15">
        <v>1.99</v>
      </c>
    </row>
    <row r="120" spans="1:17" x14ac:dyDescent="0.25">
      <c r="A120" s="122">
        <v>118</v>
      </c>
      <c r="B120" s="1">
        <v>3.4</v>
      </c>
      <c r="C120" s="1">
        <v>6.3</v>
      </c>
      <c r="D120" s="1">
        <v>53.1</v>
      </c>
      <c r="E120" s="15">
        <v>2.96</v>
      </c>
      <c r="F120" s="1">
        <v>3.4</v>
      </c>
      <c r="G120" s="1">
        <v>6.3</v>
      </c>
      <c r="H120" s="1">
        <v>46</v>
      </c>
      <c r="I120" s="15">
        <v>2.64</v>
      </c>
      <c r="J120" s="1">
        <v>3.4</v>
      </c>
      <c r="K120" s="1">
        <v>5.7</v>
      </c>
      <c r="L120" s="1">
        <v>47.6</v>
      </c>
      <c r="M120" s="15">
        <v>2.19</v>
      </c>
      <c r="N120" s="1">
        <v>3.4</v>
      </c>
      <c r="O120" s="1">
        <v>6.2</v>
      </c>
      <c r="P120" s="1">
        <v>48.2</v>
      </c>
      <c r="Q120" s="15">
        <v>1.77</v>
      </c>
    </row>
    <row r="121" spans="1:17" x14ac:dyDescent="0.25">
      <c r="A121" s="122">
        <v>119</v>
      </c>
      <c r="B121" s="1">
        <v>3.4</v>
      </c>
      <c r="C121" s="1">
        <v>6.2</v>
      </c>
      <c r="D121" s="1">
        <v>53</v>
      </c>
      <c r="E121" s="15">
        <v>2.95</v>
      </c>
      <c r="F121" s="1">
        <v>3.4</v>
      </c>
      <c r="G121" s="1">
        <v>6.2</v>
      </c>
      <c r="H121" s="1">
        <v>45.8</v>
      </c>
      <c r="I121" s="15">
        <v>2.59</v>
      </c>
      <c r="J121" s="1">
        <v>3.4</v>
      </c>
      <c r="K121" s="1">
        <v>6.3</v>
      </c>
      <c r="L121" s="1">
        <v>47.6</v>
      </c>
      <c r="M121" s="15">
        <v>2.1</v>
      </c>
      <c r="N121" s="1">
        <v>3.4</v>
      </c>
      <c r="O121" s="1">
        <v>6</v>
      </c>
      <c r="P121" s="1">
        <v>49.6</v>
      </c>
      <c r="Q121" s="15">
        <v>4.08</v>
      </c>
    </row>
    <row r="122" spans="1:17" x14ac:dyDescent="0.25">
      <c r="A122" s="122">
        <v>120</v>
      </c>
      <c r="B122" s="1">
        <v>3.4</v>
      </c>
      <c r="C122" s="1">
        <v>6</v>
      </c>
      <c r="D122" s="1">
        <v>53.2</v>
      </c>
      <c r="E122" s="15">
        <v>2.86</v>
      </c>
      <c r="F122" s="1">
        <v>3.4</v>
      </c>
      <c r="G122" s="1">
        <v>6</v>
      </c>
      <c r="H122" s="1">
        <v>45.8</v>
      </c>
      <c r="I122" s="15">
        <v>2.5299999999999998</v>
      </c>
      <c r="J122" s="1">
        <v>3.4</v>
      </c>
      <c r="K122" s="1">
        <v>6.2</v>
      </c>
      <c r="L122" s="1">
        <v>47.7</v>
      </c>
      <c r="M122" s="15">
        <v>2.4500000000000002</v>
      </c>
      <c r="N122" s="1">
        <v>3.4</v>
      </c>
      <c r="O122" s="1">
        <v>5.8</v>
      </c>
      <c r="P122" s="1">
        <v>48.7</v>
      </c>
      <c r="Q122" s="15">
        <v>2.34</v>
      </c>
    </row>
    <row r="123" spans="1:17" x14ac:dyDescent="0.25">
      <c r="A123" s="122">
        <v>121</v>
      </c>
      <c r="B123" s="1">
        <v>3.4</v>
      </c>
      <c r="C123" s="1">
        <v>5.7</v>
      </c>
      <c r="D123" s="1">
        <v>53.6</v>
      </c>
      <c r="E123" s="15">
        <v>2.86</v>
      </c>
      <c r="F123" s="1">
        <v>3.4</v>
      </c>
      <c r="G123" s="1">
        <v>5.7</v>
      </c>
      <c r="H123" s="1">
        <v>46</v>
      </c>
      <c r="I123" s="15">
        <v>2.66</v>
      </c>
      <c r="J123" s="1">
        <v>3.4</v>
      </c>
      <c r="K123" s="1">
        <v>6</v>
      </c>
      <c r="L123" s="1">
        <v>47.5</v>
      </c>
      <c r="M123" s="15">
        <v>2.1800000000000002</v>
      </c>
      <c r="N123" s="1">
        <v>3.4</v>
      </c>
      <c r="O123" s="1">
        <v>6.2</v>
      </c>
      <c r="P123" s="1">
        <v>48.5</v>
      </c>
      <c r="Q123" s="15">
        <v>2.13</v>
      </c>
    </row>
    <row r="124" spans="1:17" x14ac:dyDescent="0.25">
      <c r="A124" s="122">
        <v>122</v>
      </c>
      <c r="B124" s="1">
        <v>3.4</v>
      </c>
      <c r="C124" s="1">
        <v>6.3</v>
      </c>
      <c r="D124" s="1">
        <v>53.9</v>
      </c>
      <c r="E124" s="15">
        <v>2.82</v>
      </c>
      <c r="F124" s="1">
        <v>3.4</v>
      </c>
      <c r="G124" s="1">
        <v>6.3</v>
      </c>
      <c r="H124" s="1">
        <v>46.2</v>
      </c>
      <c r="I124" s="15">
        <v>2.72</v>
      </c>
      <c r="J124" s="1">
        <v>3.4</v>
      </c>
      <c r="K124" s="1">
        <v>5.7</v>
      </c>
      <c r="L124" s="1">
        <v>47.7</v>
      </c>
      <c r="M124" s="15">
        <v>2.13</v>
      </c>
      <c r="N124" s="1">
        <v>3.4</v>
      </c>
      <c r="O124" s="1">
        <v>6.1</v>
      </c>
      <c r="P124" s="1">
        <v>47.7</v>
      </c>
      <c r="Q124" s="15">
        <v>4.13</v>
      </c>
    </row>
    <row r="125" spans="1:17" x14ac:dyDescent="0.25">
      <c r="A125" s="122">
        <v>123</v>
      </c>
      <c r="B125" s="1">
        <v>3.4</v>
      </c>
      <c r="C125" s="1">
        <v>6.2</v>
      </c>
      <c r="D125" s="1">
        <v>54.2</v>
      </c>
      <c r="E125" s="15">
        <v>2.81</v>
      </c>
      <c r="F125" s="1">
        <v>3.4</v>
      </c>
      <c r="G125" s="1">
        <v>6.2</v>
      </c>
      <c r="H125" s="1">
        <v>46.2</v>
      </c>
      <c r="I125" s="15">
        <v>2.76</v>
      </c>
      <c r="J125" s="1">
        <v>3.4</v>
      </c>
      <c r="K125" s="1">
        <v>6.3</v>
      </c>
      <c r="L125" s="1">
        <v>47.7</v>
      </c>
      <c r="M125" s="15">
        <v>2.38</v>
      </c>
      <c r="N125" s="1">
        <v>3.4</v>
      </c>
      <c r="O125" s="1">
        <v>5.9</v>
      </c>
      <c r="P125" s="1">
        <v>48.6</v>
      </c>
      <c r="Q125" s="15">
        <v>2.02</v>
      </c>
    </row>
    <row r="126" spans="1:17" x14ac:dyDescent="0.25">
      <c r="A126" s="122">
        <v>124</v>
      </c>
      <c r="B126" s="1">
        <v>3.4</v>
      </c>
      <c r="C126" s="1">
        <v>5.6</v>
      </c>
      <c r="D126" s="1">
        <v>53.3</v>
      </c>
      <c r="E126" s="15">
        <v>2.66</v>
      </c>
      <c r="F126" s="1">
        <v>3.4</v>
      </c>
      <c r="G126" s="1">
        <v>5.9</v>
      </c>
      <c r="H126" s="1">
        <v>47.6</v>
      </c>
      <c r="I126" s="15">
        <v>2.78</v>
      </c>
      <c r="J126" s="1">
        <v>3.4</v>
      </c>
      <c r="K126" s="1">
        <v>6.2</v>
      </c>
      <c r="L126" s="1">
        <v>47.9</v>
      </c>
      <c r="M126" s="15">
        <v>2.2999999999999998</v>
      </c>
      <c r="N126" s="1">
        <v>3.4</v>
      </c>
      <c r="O126" s="1">
        <v>6.2</v>
      </c>
      <c r="P126" s="1">
        <v>47.2</v>
      </c>
      <c r="Q126" s="15">
        <v>1.88</v>
      </c>
    </row>
    <row r="127" spans="1:17" x14ac:dyDescent="0.25">
      <c r="A127" s="122">
        <v>125</v>
      </c>
      <c r="B127" s="1">
        <v>3.4</v>
      </c>
      <c r="C127" s="1">
        <v>6.3</v>
      </c>
      <c r="D127" s="1">
        <v>54.1</v>
      </c>
      <c r="E127" s="15">
        <v>2.78</v>
      </c>
      <c r="F127" s="1">
        <v>3.4</v>
      </c>
      <c r="G127" s="1">
        <v>5.6</v>
      </c>
      <c r="H127" s="1">
        <v>48.7</v>
      </c>
      <c r="I127" s="15">
        <v>2.84</v>
      </c>
      <c r="J127" s="1">
        <v>3.4</v>
      </c>
      <c r="K127" s="1">
        <v>6</v>
      </c>
      <c r="L127" s="1">
        <v>48.1</v>
      </c>
      <c r="M127" s="15">
        <v>3.5</v>
      </c>
      <c r="N127" s="1">
        <v>3.4</v>
      </c>
      <c r="O127" s="1">
        <v>6.2</v>
      </c>
      <c r="P127" s="1">
        <v>47.8</v>
      </c>
      <c r="Q127" s="15">
        <v>4.28</v>
      </c>
    </row>
    <row r="128" spans="1:17" x14ac:dyDescent="0.25">
      <c r="A128" s="122">
        <v>126</v>
      </c>
      <c r="B128" s="1">
        <v>3.4</v>
      </c>
      <c r="C128" s="1">
        <v>6.2</v>
      </c>
      <c r="D128" s="1">
        <v>54.1</v>
      </c>
      <c r="E128" s="15">
        <v>2.86</v>
      </c>
      <c r="F128" s="1">
        <v>3.4</v>
      </c>
      <c r="G128" s="1">
        <v>6.2</v>
      </c>
      <c r="H128" s="1">
        <v>49.8</v>
      </c>
      <c r="I128" s="15">
        <v>2.79</v>
      </c>
      <c r="J128" s="1">
        <v>3.4</v>
      </c>
      <c r="K128" s="1">
        <v>5.7</v>
      </c>
      <c r="L128" s="1">
        <v>48.1</v>
      </c>
      <c r="M128" s="15">
        <v>3.69</v>
      </c>
      <c r="N128" s="1">
        <v>3.4</v>
      </c>
      <c r="O128" s="1">
        <v>6</v>
      </c>
      <c r="P128" s="1">
        <v>48.2</v>
      </c>
      <c r="Q128" s="15">
        <v>2.2799999999999998</v>
      </c>
    </row>
    <row r="129" spans="1:17" x14ac:dyDescent="0.25">
      <c r="A129" s="122">
        <v>127</v>
      </c>
      <c r="B129" s="1">
        <v>3.4</v>
      </c>
      <c r="C129" s="1">
        <v>6</v>
      </c>
      <c r="D129" s="1">
        <v>54</v>
      </c>
      <c r="E129" s="15">
        <v>2.95</v>
      </c>
      <c r="F129" s="1">
        <v>3.4</v>
      </c>
      <c r="G129" s="1">
        <v>6.1</v>
      </c>
      <c r="H129" s="1">
        <v>50.4</v>
      </c>
      <c r="I129" s="15">
        <v>2.84</v>
      </c>
      <c r="J129" s="1">
        <v>3.4</v>
      </c>
      <c r="K129" s="1">
        <v>6.3</v>
      </c>
      <c r="L129" s="1">
        <v>47.9</v>
      </c>
      <c r="M129" s="15">
        <v>2.4</v>
      </c>
      <c r="N129" s="1">
        <v>3.4</v>
      </c>
      <c r="O129" s="1">
        <v>5.8</v>
      </c>
      <c r="P129" s="1">
        <v>46.6</v>
      </c>
      <c r="Q129" s="15">
        <v>1.73</v>
      </c>
    </row>
    <row r="130" spans="1:17" x14ac:dyDescent="0.25">
      <c r="A130" s="122">
        <v>128</v>
      </c>
      <c r="B130" s="1">
        <v>3.4</v>
      </c>
      <c r="C130" s="1">
        <v>5.7</v>
      </c>
      <c r="D130" s="1">
        <v>54</v>
      </c>
      <c r="E130" s="15">
        <v>2.98</v>
      </c>
      <c r="F130" s="1">
        <v>3.5</v>
      </c>
      <c r="G130" s="1">
        <v>6.2</v>
      </c>
      <c r="H130" s="1">
        <v>50.6</v>
      </c>
      <c r="I130" s="15">
        <v>2.4500000000000002</v>
      </c>
      <c r="J130" s="1">
        <v>3.4</v>
      </c>
      <c r="K130" s="1">
        <v>6.2</v>
      </c>
      <c r="L130" s="1">
        <v>47.8</v>
      </c>
      <c r="M130" s="15">
        <v>2.71</v>
      </c>
      <c r="N130" s="1">
        <v>3.4</v>
      </c>
      <c r="O130" s="1">
        <v>6.3</v>
      </c>
      <c r="P130" s="1">
        <v>48.3</v>
      </c>
      <c r="Q130" s="15">
        <v>2.3199999999999998</v>
      </c>
    </row>
    <row r="131" spans="1:17" x14ac:dyDescent="0.25">
      <c r="A131" s="122">
        <v>129</v>
      </c>
      <c r="B131" s="1">
        <v>3.4</v>
      </c>
      <c r="C131" s="1">
        <v>6.3</v>
      </c>
      <c r="D131" s="1">
        <v>53.8</v>
      </c>
      <c r="E131" s="15">
        <v>3.01</v>
      </c>
      <c r="F131" s="1">
        <v>3.5</v>
      </c>
      <c r="G131" s="1">
        <v>6.2</v>
      </c>
      <c r="H131" s="1">
        <v>52.9</v>
      </c>
      <c r="I131" s="15">
        <v>0.43</v>
      </c>
      <c r="J131" s="1">
        <v>3.4</v>
      </c>
      <c r="K131" s="1">
        <v>6</v>
      </c>
      <c r="L131" s="1">
        <v>47.7</v>
      </c>
      <c r="M131" s="15">
        <v>2.61</v>
      </c>
      <c r="N131" s="1">
        <v>3.4</v>
      </c>
      <c r="O131" s="1">
        <v>6.2</v>
      </c>
      <c r="P131" s="1">
        <v>48.5</v>
      </c>
      <c r="Q131" s="15">
        <v>2.78</v>
      </c>
    </row>
    <row r="132" spans="1:17" x14ac:dyDescent="0.25">
      <c r="A132" s="122">
        <v>130</v>
      </c>
      <c r="B132" s="1">
        <v>3.4</v>
      </c>
      <c r="C132" s="1">
        <v>6.2</v>
      </c>
      <c r="D132" s="1">
        <v>53.7</v>
      </c>
      <c r="E132" s="15">
        <v>2.95</v>
      </c>
      <c r="F132" s="1">
        <v>3.5</v>
      </c>
      <c r="G132" s="1">
        <v>6.1</v>
      </c>
      <c r="H132" s="1">
        <v>53.7</v>
      </c>
      <c r="I132" s="15">
        <v>2.89</v>
      </c>
      <c r="J132" s="1">
        <v>3.4</v>
      </c>
      <c r="K132" s="1">
        <v>5.7</v>
      </c>
      <c r="L132" s="1">
        <v>47.7</v>
      </c>
      <c r="M132" s="15">
        <v>2.06</v>
      </c>
      <c r="N132" s="1">
        <v>3.5</v>
      </c>
      <c r="O132" s="1">
        <v>6</v>
      </c>
      <c r="P132" s="1">
        <v>50.8</v>
      </c>
      <c r="Q132" s="15">
        <v>0.26</v>
      </c>
    </row>
    <row r="133" spans="1:17" x14ac:dyDescent="0.25">
      <c r="A133" s="122">
        <v>131</v>
      </c>
      <c r="B133" s="1">
        <v>3.4</v>
      </c>
      <c r="C133" s="1">
        <v>6</v>
      </c>
      <c r="D133" s="1">
        <v>53.6</v>
      </c>
      <c r="E133" s="15">
        <v>2.98</v>
      </c>
      <c r="F133" s="1">
        <v>3.5</v>
      </c>
      <c r="G133" s="1">
        <v>5.8</v>
      </c>
      <c r="H133" s="1">
        <v>53.9</v>
      </c>
      <c r="I133" s="15">
        <v>2.92</v>
      </c>
      <c r="J133" s="1">
        <v>3.4</v>
      </c>
      <c r="K133" s="1">
        <v>6.2</v>
      </c>
      <c r="L133" s="1">
        <v>47.6</v>
      </c>
      <c r="M133" s="15">
        <v>1.88</v>
      </c>
      <c r="N133" s="1">
        <v>3.5</v>
      </c>
      <c r="O133" s="1">
        <v>5.9</v>
      </c>
      <c r="P133" s="1">
        <v>51.5</v>
      </c>
      <c r="Q133" s="15">
        <v>4.33</v>
      </c>
    </row>
    <row r="134" spans="1:17" x14ac:dyDescent="0.25">
      <c r="A134" s="122">
        <v>132</v>
      </c>
      <c r="B134" s="1">
        <v>3.4</v>
      </c>
      <c r="C134" s="1">
        <v>5.8</v>
      </c>
      <c r="D134" s="1">
        <v>53.6</v>
      </c>
      <c r="E134" s="15">
        <v>3.01</v>
      </c>
      <c r="F134" s="1">
        <v>3.4</v>
      </c>
      <c r="G134" s="1">
        <v>6.3</v>
      </c>
      <c r="H134" s="1">
        <v>53.5</v>
      </c>
      <c r="I134" s="15">
        <v>2.92</v>
      </c>
      <c r="J134" s="1">
        <v>3.4</v>
      </c>
      <c r="K134" s="1">
        <v>6.2</v>
      </c>
      <c r="L134" s="1">
        <v>47.4</v>
      </c>
      <c r="M134" s="15">
        <v>2.0499999999999998</v>
      </c>
      <c r="N134" s="1">
        <v>3.4</v>
      </c>
      <c r="O134" s="1">
        <v>6.2</v>
      </c>
      <c r="P134" s="1">
        <v>50</v>
      </c>
      <c r="Q134" s="15">
        <v>3.49</v>
      </c>
    </row>
    <row r="135" spans="1:17" x14ac:dyDescent="0.25">
      <c r="A135" s="122">
        <v>133</v>
      </c>
      <c r="B135" s="1">
        <v>3.4</v>
      </c>
      <c r="C135" s="1">
        <v>6.3</v>
      </c>
      <c r="D135" s="1">
        <v>53.6</v>
      </c>
      <c r="E135" s="15">
        <v>2.98</v>
      </c>
      <c r="F135" s="1">
        <v>3.4</v>
      </c>
      <c r="G135" s="1">
        <v>6.2</v>
      </c>
      <c r="H135" s="1">
        <v>53.3</v>
      </c>
      <c r="I135" s="15">
        <v>2.92</v>
      </c>
      <c r="J135" s="1">
        <v>3.4</v>
      </c>
      <c r="K135" s="1">
        <v>6</v>
      </c>
      <c r="L135" s="1">
        <v>47.5</v>
      </c>
      <c r="M135" s="15">
        <v>1.96</v>
      </c>
      <c r="N135" s="1">
        <v>3.4</v>
      </c>
      <c r="O135" s="1">
        <v>6.2</v>
      </c>
      <c r="P135" s="1">
        <v>49.5</v>
      </c>
      <c r="Q135" s="15">
        <v>2.5299999999999998</v>
      </c>
    </row>
    <row r="136" spans="1:17" x14ac:dyDescent="0.25">
      <c r="A136" s="122">
        <v>134</v>
      </c>
      <c r="B136" s="1">
        <v>3.4</v>
      </c>
      <c r="C136" s="1">
        <v>6.2</v>
      </c>
      <c r="D136" s="1">
        <v>53.3</v>
      </c>
      <c r="E136" s="15">
        <v>2.93</v>
      </c>
      <c r="F136" s="1">
        <v>3.4</v>
      </c>
      <c r="G136" s="1">
        <v>6</v>
      </c>
      <c r="H136" s="1">
        <v>53.4</v>
      </c>
      <c r="I136" s="15">
        <v>2.93</v>
      </c>
      <c r="J136" s="1">
        <v>3.4</v>
      </c>
      <c r="K136" s="1">
        <v>5.7</v>
      </c>
      <c r="L136" s="1">
        <v>47.6</v>
      </c>
      <c r="M136" s="15">
        <v>2.04</v>
      </c>
      <c r="N136" s="1">
        <v>3.4</v>
      </c>
      <c r="O136" s="1">
        <v>5.9</v>
      </c>
      <c r="P136" s="1">
        <v>48.5</v>
      </c>
      <c r="Q136" s="15">
        <v>2.04</v>
      </c>
    </row>
    <row r="137" spans="1:17" x14ac:dyDescent="0.25">
      <c r="A137" s="122">
        <v>135</v>
      </c>
      <c r="B137" s="1">
        <v>3.4</v>
      </c>
      <c r="C137" s="1">
        <v>6.1</v>
      </c>
      <c r="D137" s="1">
        <v>53.2</v>
      </c>
      <c r="E137" s="15">
        <v>2.98</v>
      </c>
      <c r="F137" s="1">
        <v>3.4</v>
      </c>
      <c r="G137" s="1">
        <v>5.7</v>
      </c>
      <c r="H137" s="1">
        <v>53.6</v>
      </c>
      <c r="I137" s="15">
        <v>2.95</v>
      </c>
      <c r="J137" s="1">
        <v>3.4</v>
      </c>
      <c r="K137" s="1">
        <v>6.3</v>
      </c>
      <c r="L137" s="1">
        <v>47.5</v>
      </c>
      <c r="M137" s="15">
        <v>2.0699999999999998</v>
      </c>
      <c r="N137" s="1">
        <v>3.4</v>
      </c>
      <c r="O137" s="1">
        <v>5.8</v>
      </c>
      <c r="P137" s="1">
        <v>48.5</v>
      </c>
      <c r="Q137" s="15">
        <v>2.08</v>
      </c>
    </row>
    <row r="138" spans="1:17" x14ac:dyDescent="0.25">
      <c r="A138" s="122">
        <v>136</v>
      </c>
      <c r="B138" s="1">
        <v>3.4</v>
      </c>
      <c r="C138" s="1">
        <v>5.8</v>
      </c>
      <c r="D138" s="1">
        <v>53.2</v>
      </c>
      <c r="E138" s="15">
        <v>2.95</v>
      </c>
      <c r="F138" s="1">
        <v>3.4</v>
      </c>
      <c r="G138" s="1">
        <v>6.3</v>
      </c>
      <c r="H138" s="1">
        <v>53.9</v>
      </c>
      <c r="I138" s="15">
        <v>2.97</v>
      </c>
      <c r="J138" s="1">
        <v>3.4</v>
      </c>
      <c r="K138" s="1">
        <v>6.2</v>
      </c>
      <c r="L138" s="1">
        <v>47.5</v>
      </c>
      <c r="M138" s="15">
        <v>2.16</v>
      </c>
      <c r="N138" s="1">
        <v>3.4</v>
      </c>
      <c r="O138" s="1">
        <v>6.2</v>
      </c>
      <c r="P138" s="1">
        <v>48.8</v>
      </c>
      <c r="Q138" s="15">
        <v>2.4700000000000002</v>
      </c>
    </row>
    <row r="139" spans="1:17" x14ac:dyDescent="0.25">
      <c r="A139" s="122">
        <v>137</v>
      </c>
      <c r="B139" s="1">
        <v>3.4</v>
      </c>
      <c r="C139" s="1">
        <v>6.3</v>
      </c>
      <c r="D139" s="1">
        <v>53</v>
      </c>
      <c r="E139" s="15">
        <v>2.95</v>
      </c>
      <c r="F139" s="1">
        <v>3.4</v>
      </c>
      <c r="G139" s="1">
        <v>6.2</v>
      </c>
      <c r="H139" s="1">
        <v>54</v>
      </c>
      <c r="I139" s="15">
        <v>2.92</v>
      </c>
      <c r="J139" s="1">
        <v>3.4</v>
      </c>
      <c r="K139" s="1">
        <v>6</v>
      </c>
      <c r="L139" s="1">
        <v>47.5</v>
      </c>
      <c r="M139" s="15">
        <v>2.19</v>
      </c>
      <c r="N139" s="1">
        <v>3.4</v>
      </c>
      <c r="O139" s="1">
        <v>6.2</v>
      </c>
      <c r="P139" s="1">
        <v>48.7</v>
      </c>
      <c r="Q139" s="15">
        <v>2.98</v>
      </c>
    </row>
    <row r="140" spans="1:17" x14ac:dyDescent="0.25">
      <c r="A140" s="122">
        <v>138</v>
      </c>
      <c r="B140" s="1">
        <v>3.4</v>
      </c>
      <c r="C140" s="1">
        <v>6.2</v>
      </c>
      <c r="D140" s="1">
        <v>53</v>
      </c>
      <c r="E140" s="15">
        <v>2.93</v>
      </c>
      <c r="F140" s="1">
        <v>3.4</v>
      </c>
      <c r="G140" s="1">
        <v>6</v>
      </c>
      <c r="H140" s="1">
        <v>54</v>
      </c>
      <c r="I140" s="15">
        <v>3.73</v>
      </c>
      <c r="J140" s="1">
        <v>3.4</v>
      </c>
      <c r="K140" s="1">
        <v>5.8</v>
      </c>
      <c r="L140" s="1">
        <v>47.6</v>
      </c>
      <c r="M140" s="15">
        <v>2.2200000000000002</v>
      </c>
      <c r="N140" s="1">
        <v>3.4</v>
      </c>
      <c r="O140" s="1">
        <v>6</v>
      </c>
      <c r="P140" s="1">
        <v>48.8</v>
      </c>
      <c r="Q140" s="15">
        <v>3.17</v>
      </c>
    </row>
    <row r="141" spans="1:17" x14ac:dyDescent="0.25">
      <c r="A141" s="122">
        <v>139</v>
      </c>
      <c r="B141" s="1">
        <v>3.4</v>
      </c>
      <c r="C141" s="1">
        <v>6.1</v>
      </c>
      <c r="D141" s="1">
        <v>52.8</v>
      </c>
      <c r="E141" s="15">
        <v>2.93</v>
      </c>
      <c r="F141" s="1">
        <v>3.4</v>
      </c>
      <c r="G141" s="1">
        <v>5.8</v>
      </c>
      <c r="H141" s="1">
        <v>53.6</v>
      </c>
      <c r="I141" s="15">
        <v>2.78</v>
      </c>
      <c r="J141" s="1">
        <v>3.4</v>
      </c>
      <c r="K141" s="1">
        <v>6.3</v>
      </c>
      <c r="L141" s="1">
        <v>47.5</v>
      </c>
      <c r="M141" s="15">
        <v>2.27</v>
      </c>
      <c r="N141" s="1">
        <v>3.4</v>
      </c>
      <c r="O141" s="1">
        <v>5.7</v>
      </c>
      <c r="P141" s="1">
        <v>48.8</v>
      </c>
      <c r="Q141" s="15">
        <v>3.55</v>
      </c>
    </row>
    <row r="142" spans="1:17" x14ac:dyDescent="0.25">
      <c r="A142" s="122">
        <v>140</v>
      </c>
      <c r="B142" s="1">
        <v>3.4</v>
      </c>
      <c r="C142" s="1">
        <v>5.8</v>
      </c>
      <c r="D142" s="1">
        <v>52.6</v>
      </c>
      <c r="E142" s="15">
        <v>2.92</v>
      </c>
      <c r="F142" s="1">
        <v>3.4</v>
      </c>
      <c r="G142" s="1">
        <v>6.2</v>
      </c>
      <c r="H142" s="1">
        <v>53.5</v>
      </c>
      <c r="I142" s="15">
        <v>2.73</v>
      </c>
      <c r="J142" s="1">
        <v>3.4</v>
      </c>
      <c r="K142" s="1">
        <v>6.2</v>
      </c>
      <c r="L142" s="1">
        <v>47.5</v>
      </c>
      <c r="M142" s="15">
        <v>2.16</v>
      </c>
      <c r="N142" s="1">
        <v>3.4</v>
      </c>
      <c r="O142" s="1">
        <v>6.2</v>
      </c>
      <c r="P142" s="1">
        <v>48.8</v>
      </c>
      <c r="Q142" s="15">
        <v>3.29</v>
      </c>
    </row>
    <row r="143" spans="1:17" x14ac:dyDescent="0.25">
      <c r="A143" s="122">
        <v>141</v>
      </c>
      <c r="B143" s="1">
        <v>3.4</v>
      </c>
      <c r="C143" s="1">
        <v>6.3</v>
      </c>
      <c r="D143" s="1">
        <v>52.5</v>
      </c>
      <c r="E143" s="15">
        <v>2.99</v>
      </c>
      <c r="F143" s="1">
        <v>3.4</v>
      </c>
      <c r="G143" s="1">
        <v>6.1</v>
      </c>
      <c r="H143" s="1">
        <v>54.1</v>
      </c>
      <c r="I143" s="15">
        <v>2.73</v>
      </c>
      <c r="J143" s="1">
        <v>3.4</v>
      </c>
      <c r="K143" s="1">
        <v>6</v>
      </c>
      <c r="L143" s="1">
        <v>47.7</v>
      </c>
      <c r="M143" s="15">
        <v>2.08</v>
      </c>
      <c r="N143" s="1">
        <v>3.4</v>
      </c>
      <c r="O143" s="1">
        <v>6.2</v>
      </c>
      <c r="P143" s="1">
        <v>49</v>
      </c>
      <c r="Q143" s="15">
        <v>2.98</v>
      </c>
    </row>
    <row r="144" spans="1:17" x14ac:dyDescent="0.25">
      <c r="A144" s="122">
        <v>142</v>
      </c>
      <c r="B144" s="1">
        <v>3.4</v>
      </c>
      <c r="C144" s="1">
        <v>6.2</v>
      </c>
      <c r="D144" s="1">
        <v>52.3</v>
      </c>
      <c r="E144" s="15">
        <v>2.98</v>
      </c>
      <c r="F144" s="1">
        <v>3.4</v>
      </c>
      <c r="G144" s="1">
        <v>5.9</v>
      </c>
      <c r="H144" s="1">
        <v>53.6</v>
      </c>
      <c r="I144" s="15">
        <v>2.69</v>
      </c>
      <c r="J144" s="1">
        <v>3.4</v>
      </c>
      <c r="K144" s="1">
        <v>5.8</v>
      </c>
      <c r="L144" s="1">
        <v>47.6</v>
      </c>
      <c r="M144" s="15">
        <v>2.27</v>
      </c>
      <c r="N144" s="1">
        <v>3.4</v>
      </c>
      <c r="O144" s="1">
        <v>6</v>
      </c>
      <c r="P144" s="1">
        <v>48.6</v>
      </c>
      <c r="Q144" s="15">
        <v>2.7</v>
      </c>
    </row>
    <row r="145" spans="1:17" x14ac:dyDescent="0.25">
      <c r="A145" s="122">
        <v>143</v>
      </c>
      <c r="B145" s="1">
        <v>3.4</v>
      </c>
      <c r="C145" s="1">
        <v>6</v>
      </c>
      <c r="D145" s="1">
        <v>51.9</v>
      </c>
      <c r="E145" s="15">
        <v>2.92</v>
      </c>
      <c r="F145" s="1">
        <v>3.4</v>
      </c>
      <c r="G145" s="1">
        <v>6.2</v>
      </c>
      <c r="H145" s="1">
        <v>53.3</v>
      </c>
      <c r="I145" s="15">
        <v>2.67</v>
      </c>
      <c r="J145" s="1">
        <v>3.4</v>
      </c>
      <c r="K145" s="1">
        <v>6.3</v>
      </c>
      <c r="L145" s="1">
        <v>47.5</v>
      </c>
      <c r="M145" s="15">
        <v>2.25</v>
      </c>
      <c r="N145" s="1">
        <v>3.4</v>
      </c>
      <c r="O145" s="1">
        <v>5.7</v>
      </c>
      <c r="P145" s="1">
        <v>48.7</v>
      </c>
      <c r="Q145" s="15">
        <v>3.01</v>
      </c>
    </row>
    <row r="146" spans="1:17" x14ac:dyDescent="0.25">
      <c r="A146" s="122">
        <v>144</v>
      </c>
      <c r="B146" s="1">
        <v>3.4</v>
      </c>
      <c r="C146" s="1">
        <v>5.7</v>
      </c>
      <c r="D146" s="1">
        <v>51.7</v>
      </c>
      <c r="E146" s="15">
        <v>2.87</v>
      </c>
      <c r="F146" s="1">
        <v>3.4</v>
      </c>
      <c r="G146" s="1">
        <v>6.2</v>
      </c>
      <c r="H146" s="1">
        <v>54</v>
      </c>
      <c r="I146" s="15">
        <v>2.56</v>
      </c>
      <c r="J146" s="1">
        <v>3.4</v>
      </c>
      <c r="K146" s="1">
        <v>6.2</v>
      </c>
      <c r="L146" s="1">
        <v>47.5</v>
      </c>
      <c r="M146" s="15">
        <v>2.27</v>
      </c>
      <c r="N146" s="1">
        <v>3.4</v>
      </c>
      <c r="O146" s="1">
        <v>6.2</v>
      </c>
      <c r="P146" s="1">
        <v>48.7</v>
      </c>
      <c r="Q146" s="15">
        <v>3.17</v>
      </c>
    </row>
    <row r="147" spans="1:17" x14ac:dyDescent="0.25">
      <c r="A147" s="122">
        <v>145</v>
      </c>
      <c r="B147" s="1">
        <v>3.4</v>
      </c>
      <c r="C147" s="1">
        <v>6.3</v>
      </c>
      <c r="D147" s="1">
        <v>51.5</v>
      </c>
      <c r="E147" s="15">
        <v>2.87</v>
      </c>
      <c r="F147" s="1">
        <v>3.4</v>
      </c>
      <c r="G147" s="1">
        <v>6.1</v>
      </c>
      <c r="H147" s="1">
        <v>53.5</v>
      </c>
      <c r="I147" s="15">
        <v>2.81</v>
      </c>
      <c r="J147" s="1">
        <v>3.4</v>
      </c>
      <c r="K147" s="1">
        <v>6</v>
      </c>
      <c r="L147" s="1">
        <v>47.6</v>
      </c>
      <c r="M147" s="15">
        <v>2.21</v>
      </c>
      <c r="N147" s="1">
        <v>3.4</v>
      </c>
      <c r="O147" s="1">
        <v>6.2</v>
      </c>
      <c r="P147" s="1">
        <v>48.7</v>
      </c>
      <c r="Q147" s="15">
        <v>3.29</v>
      </c>
    </row>
    <row r="148" spans="1:17" x14ac:dyDescent="0.25">
      <c r="A148" s="122">
        <v>146</v>
      </c>
      <c r="B148" s="1">
        <v>3.4</v>
      </c>
      <c r="C148" s="1">
        <v>6.2</v>
      </c>
      <c r="D148" s="1">
        <v>51.3</v>
      </c>
      <c r="E148" s="15">
        <v>2.89</v>
      </c>
      <c r="F148" s="1">
        <v>3.4</v>
      </c>
      <c r="G148" s="1">
        <v>5.7</v>
      </c>
      <c r="H148" s="1">
        <v>54.3</v>
      </c>
      <c r="I148" s="15">
        <v>3.97</v>
      </c>
      <c r="J148" s="1">
        <v>3.4</v>
      </c>
      <c r="K148" s="1">
        <v>5.8</v>
      </c>
      <c r="L148" s="1">
        <v>47.6</v>
      </c>
      <c r="M148" s="15">
        <v>2.3199999999999998</v>
      </c>
      <c r="N148" s="1">
        <v>3.4</v>
      </c>
      <c r="O148" s="1">
        <v>5.8</v>
      </c>
      <c r="P148" s="1">
        <v>48.7</v>
      </c>
      <c r="Q148" s="15">
        <v>3.69</v>
      </c>
    </row>
    <row r="149" spans="1:17" x14ac:dyDescent="0.25">
      <c r="A149" s="122">
        <v>147</v>
      </c>
      <c r="B149" s="1">
        <v>3.4</v>
      </c>
      <c r="C149" s="1">
        <v>6</v>
      </c>
      <c r="D149" s="1">
        <v>51.3</v>
      </c>
      <c r="E149" s="15">
        <v>2.98</v>
      </c>
      <c r="F149" s="1">
        <v>3.4</v>
      </c>
      <c r="G149" s="1">
        <v>6.3</v>
      </c>
      <c r="H149" s="1">
        <v>53.8</v>
      </c>
      <c r="I149" s="15">
        <v>2.73</v>
      </c>
      <c r="J149" s="1">
        <v>3.4</v>
      </c>
      <c r="K149" s="1">
        <v>6.3</v>
      </c>
      <c r="L149" s="1">
        <v>47.6</v>
      </c>
      <c r="M149" s="15">
        <v>2.19</v>
      </c>
      <c r="N149" s="1">
        <v>3.4</v>
      </c>
      <c r="O149" s="1">
        <v>5.7</v>
      </c>
      <c r="P149" s="1">
        <v>48.7</v>
      </c>
      <c r="Q149" s="15">
        <v>3.95</v>
      </c>
    </row>
    <row r="150" spans="1:17" x14ac:dyDescent="0.25">
      <c r="A150" s="122">
        <v>148</v>
      </c>
      <c r="B150" s="1">
        <v>3.4</v>
      </c>
      <c r="C150" s="1">
        <v>5.8</v>
      </c>
      <c r="D150" s="1">
        <v>51.5</v>
      </c>
      <c r="E150" s="15">
        <v>2.93</v>
      </c>
      <c r="F150" s="1">
        <v>3.4</v>
      </c>
      <c r="G150" s="1">
        <v>6.2</v>
      </c>
      <c r="H150" s="1">
        <v>53.9</v>
      </c>
      <c r="I150" s="15">
        <v>2.75</v>
      </c>
      <c r="J150" s="1">
        <v>3.4</v>
      </c>
      <c r="K150" s="1">
        <v>6.2</v>
      </c>
      <c r="L150" s="1">
        <v>47.5</v>
      </c>
      <c r="M150" s="15">
        <v>2.33</v>
      </c>
      <c r="N150" s="1">
        <v>3.4</v>
      </c>
      <c r="O150" s="1">
        <v>6.3</v>
      </c>
      <c r="P150" s="1">
        <v>48.4</v>
      </c>
      <c r="Q150" s="15">
        <v>2.92</v>
      </c>
    </row>
    <row r="151" spans="1:17" x14ac:dyDescent="0.25">
      <c r="A151" s="122">
        <v>149</v>
      </c>
      <c r="B151" s="1">
        <v>3.4</v>
      </c>
      <c r="C151" s="1">
        <v>5.4</v>
      </c>
      <c r="D151" s="1">
        <v>51.9</v>
      </c>
      <c r="E151" s="15">
        <v>2.86</v>
      </c>
      <c r="F151" s="1">
        <v>3.4</v>
      </c>
      <c r="G151" s="1">
        <v>6</v>
      </c>
      <c r="H151" s="1">
        <v>53.8</v>
      </c>
      <c r="I151" s="15">
        <v>2.69</v>
      </c>
      <c r="J151" s="1">
        <v>3.4</v>
      </c>
      <c r="K151" s="1">
        <v>6</v>
      </c>
      <c r="L151" s="1">
        <v>47.5</v>
      </c>
      <c r="M151" s="15">
        <v>2.3199999999999998</v>
      </c>
      <c r="N151" s="1">
        <v>3.4</v>
      </c>
      <c r="O151" s="1">
        <v>6.2</v>
      </c>
      <c r="P151" s="1">
        <v>48.1</v>
      </c>
      <c r="Q151" s="15">
        <v>1.88</v>
      </c>
    </row>
    <row r="152" spans="1:17" x14ac:dyDescent="0.25">
      <c r="A152" s="122">
        <v>150</v>
      </c>
      <c r="B152" s="1">
        <v>3.4</v>
      </c>
      <c r="C152" s="1">
        <v>6</v>
      </c>
      <c r="D152" s="1">
        <v>52.1</v>
      </c>
      <c r="E152" s="15">
        <v>2.87</v>
      </c>
      <c r="F152" s="1">
        <v>3.4</v>
      </c>
      <c r="G152" s="1">
        <v>5.7</v>
      </c>
      <c r="H152" s="1">
        <v>54.3</v>
      </c>
      <c r="I152" s="15">
        <v>3.86</v>
      </c>
      <c r="J152" s="1">
        <v>3.4</v>
      </c>
      <c r="K152" s="1">
        <v>5.8</v>
      </c>
      <c r="L152" s="1">
        <v>47.5</v>
      </c>
      <c r="M152" s="15">
        <v>2.2799999999999998</v>
      </c>
      <c r="N152" s="1">
        <v>3.4</v>
      </c>
      <c r="O152" s="1">
        <v>6</v>
      </c>
      <c r="P152" s="1">
        <v>47.9</v>
      </c>
      <c r="Q152" s="15">
        <v>1.96</v>
      </c>
    </row>
    <row r="153" spans="1:17" x14ac:dyDescent="0.25">
      <c r="A153" s="122">
        <v>151</v>
      </c>
      <c r="B153" s="1">
        <v>3.4</v>
      </c>
      <c r="C153" s="1">
        <v>5.7</v>
      </c>
      <c r="D153" s="1">
        <v>52.5</v>
      </c>
      <c r="E153" s="15">
        <v>2.87</v>
      </c>
      <c r="F153" s="1">
        <v>3.4</v>
      </c>
      <c r="G153" s="1">
        <v>6.2</v>
      </c>
      <c r="H153" s="1">
        <v>53.6</v>
      </c>
      <c r="I153" s="15">
        <v>2.73</v>
      </c>
      <c r="J153" s="1">
        <v>3.4</v>
      </c>
      <c r="K153" s="1">
        <v>6.3</v>
      </c>
      <c r="L153" s="1">
        <v>47.3</v>
      </c>
      <c r="M153" s="15">
        <v>2.16</v>
      </c>
      <c r="N153" s="1">
        <v>3.4</v>
      </c>
      <c r="O153" s="1">
        <v>5.8</v>
      </c>
      <c r="P153" s="1">
        <v>48</v>
      </c>
      <c r="Q153" s="15">
        <v>1.82</v>
      </c>
    </row>
    <row r="154" spans="1:17" x14ac:dyDescent="0.25">
      <c r="A154" s="122">
        <v>152</v>
      </c>
      <c r="B154" s="1">
        <v>3.4</v>
      </c>
      <c r="C154" s="1">
        <v>6.2</v>
      </c>
      <c r="D154" s="1">
        <v>52.9</v>
      </c>
      <c r="E154" s="15">
        <v>2.81</v>
      </c>
      <c r="F154" s="1">
        <v>3.4</v>
      </c>
      <c r="G154" s="1">
        <v>6.1</v>
      </c>
      <c r="H154" s="1">
        <v>54.2</v>
      </c>
      <c r="I154" s="15">
        <v>2.78</v>
      </c>
      <c r="J154" s="1">
        <v>3.4</v>
      </c>
      <c r="K154" s="1">
        <v>6.2</v>
      </c>
      <c r="L154" s="1">
        <v>47.4</v>
      </c>
      <c r="M154" s="15">
        <v>2.44</v>
      </c>
      <c r="N154" s="1">
        <v>3.4</v>
      </c>
      <c r="O154" s="1">
        <v>6.3</v>
      </c>
      <c r="P154" s="1">
        <v>48</v>
      </c>
      <c r="Q154" s="15">
        <v>1.88</v>
      </c>
    </row>
    <row r="155" spans="1:17" x14ac:dyDescent="0.25">
      <c r="A155" s="122">
        <v>153</v>
      </c>
      <c r="B155" s="1">
        <v>3.4</v>
      </c>
      <c r="C155" s="1">
        <v>6.1</v>
      </c>
      <c r="D155" s="1">
        <v>53</v>
      </c>
      <c r="E155" s="15">
        <v>2.86</v>
      </c>
      <c r="F155" s="1">
        <v>3.4</v>
      </c>
      <c r="G155" s="1">
        <v>5.9</v>
      </c>
      <c r="H155" s="1">
        <v>54.5</v>
      </c>
      <c r="I155" s="15">
        <v>2.8</v>
      </c>
      <c r="J155" s="1">
        <v>3.4</v>
      </c>
      <c r="K155" s="1">
        <v>6</v>
      </c>
      <c r="L155" s="1">
        <v>47.9</v>
      </c>
      <c r="M155" s="15">
        <v>3.42</v>
      </c>
      <c r="N155" s="1">
        <v>3.4</v>
      </c>
      <c r="O155" s="1">
        <v>6.2</v>
      </c>
      <c r="P155" s="1">
        <v>48.2</v>
      </c>
      <c r="Q155" s="15">
        <v>1.74</v>
      </c>
    </row>
    <row r="156" spans="1:17" x14ac:dyDescent="0.25">
      <c r="A156" s="122">
        <v>154</v>
      </c>
      <c r="B156" s="1">
        <v>3.4</v>
      </c>
      <c r="C156" s="1">
        <v>5.9</v>
      </c>
      <c r="D156" s="1">
        <v>53</v>
      </c>
      <c r="E156" s="15">
        <v>2.9</v>
      </c>
      <c r="F156" s="1">
        <v>3.5</v>
      </c>
      <c r="G156" s="1">
        <v>5.4</v>
      </c>
      <c r="H156" s="1">
        <v>53.8</v>
      </c>
      <c r="I156" s="15">
        <v>2.84</v>
      </c>
      <c r="J156" s="1">
        <v>3.4</v>
      </c>
      <c r="K156" s="1">
        <v>5.8</v>
      </c>
      <c r="L156" s="1">
        <v>48.1</v>
      </c>
      <c r="M156" s="15">
        <v>3.38</v>
      </c>
      <c r="N156" s="1">
        <v>3.4</v>
      </c>
      <c r="O156" s="1">
        <v>6</v>
      </c>
      <c r="P156" s="1">
        <v>48.4</v>
      </c>
      <c r="Q156" s="15">
        <v>1.96</v>
      </c>
    </row>
    <row r="157" spans="1:17" x14ac:dyDescent="0.25">
      <c r="A157" s="122">
        <v>155</v>
      </c>
      <c r="B157" s="1">
        <v>3.4</v>
      </c>
      <c r="C157" s="1">
        <v>6.2</v>
      </c>
      <c r="D157" s="1">
        <v>53</v>
      </c>
      <c r="E157" s="15">
        <v>2.84</v>
      </c>
      <c r="F157" s="1">
        <v>3.4</v>
      </c>
      <c r="G157" s="1">
        <v>6.2</v>
      </c>
      <c r="H157" s="1">
        <v>53.7</v>
      </c>
      <c r="I157" s="15">
        <v>2.72</v>
      </c>
      <c r="J157" s="1">
        <v>3.4</v>
      </c>
      <c r="K157" s="1">
        <v>6.2</v>
      </c>
      <c r="L157" s="1">
        <v>47.8</v>
      </c>
      <c r="M157" s="15">
        <v>2.38</v>
      </c>
      <c r="N157" s="1">
        <v>3.4</v>
      </c>
      <c r="O157" s="1">
        <v>5.5</v>
      </c>
      <c r="P157" s="1">
        <v>48.7</v>
      </c>
      <c r="Q157" s="15">
        <v>2.42</v>
      </c>
    </row>
    <row r="158" spans="1:17" x14ac:dyDescent="0.25">
      <c r="A158" s="122">
        <v>156</v>
      </c>
      <c r="B158" s="1">
        <v>3.4</v>
      </c>
      <c r="C158" s="1">
        <v>6.2</v>
      </c>
      <c r="D158" s="1">
        <v>53</v>
      </c>
      <c r="E158" s="15">
        <v>2.83</v>
      </c>
      <c r="F158" s="1">
        <v>3.4</v>
      </c>
      <c r="G158" s="1">
        <v>6.1</v>
      </c>
      <c r="H158" s="1">
        <v>54</v>
      </c>
      <c r="I158" s="15">
        <v>2.84</v>
      </c>
      <c r="J158" s="1">
        <v>3.4</v>
      </c>
      <c r="K158" s="1">
        <v>6.2</v>
      </c>
      <c r="L158" s="1">
        <v>47.6</v>
      </c>
      <c r="M158" s="15">
        <v>2.38</v>
      </c>
      <c r="N158" s="1">
        <v>3.4</v>
      </c>
      <c r="O158" s="1">
        <v>6.3</v>
      </c>
      <c r="P158" s="1">
        <v>48.8</v>
      </c>
      <c r="Q158" s="15">
        <v>2.89</v>
      </c>
    </row>
    <row r="159" spans="1:17" x14ac:dyDescent="0.25">
      <c r="A159" s="122">
        <v>157</v>
      </c>
      <c r="B159" s="1">
        <v>3.4</v>
      </c>
      <c r="C159" s="1">
        <v>6.1</v>
      </c>
      <c r="D159" s="1">
        <v>53.1</v>
      </c>
      <c r="E159" s="15">
        <v>2.9</v>
      </c>
      <c r="F159" s="1">
        <v>3.4</v>
      </c>
      <c r="G159" s="1">
        <v>5.8</v>
      </c>
      <c r="H159" s="1">
        <v>54</v>
      </c>
      <c r="I159" s="15">
        <v>2.81</v>
      </c>
      <c r="J159" s="1">
        <v>3.4</v>
      </c>
      <c r="K159" s="1">
        <v>6</v>
      </c>
      <c r="L159" s="1">
        <v>47.5</v>
      </c>
      <c r="M159" s="15">
        <v>2.36</v>
      </c>
      <c r="N159" s="1">
        <v>3.4</v>
      </c>
      <c r="O159" s="1">
        <v>6.1</v>
      </c>
      <c r="P159" s="1">
        <v>48.8</v>
      </c>
      <c r="Q159" s="15">
        <v>3.57</v>
      </c>
    </row>
    <row r="160" spans="1:17" x14ac:dyDescent="0.25">
      <c r="A160" s="122">
        <v>158</v>
      </c>
      <c r="B160" s="1">
        <v>3.4</v>
      </c>
      <c r="C160" s="1">
        <v>5.8</v>
      </c>
      <c r="D160" s="1">
        <v>53.1</v>
      </c>
      <c r="E160" s="15">
        <v>2.86</v>
      </c>
      <c r="F160" s="1">
        <v>3.4</v>
      </c>
      <c r="G160" s="1">
        <v>6.3</v>
      </c>
      <c r="H160" s="1">
        <v>53.9</v>
      </c>
      <c r="I160" s="15">
        <v>2.84</v>
      </c>
      <c r="J160" s="1">
        <v>3.4</v>
      </c>
      <c r="K160" s="1">
        <v>5.8</v>
      </c>
      <c r="L160" s="1">
        <v>47.5</v>
      </c>
      <c r="M160" s="15">
        <v>2.38</v>
      </c>
      <c r="N160" s="1">
        <v>3.4</v>
      </c>
      <c r="O160" s="1">
        <v>6</v>
      </c>
      <c r="P160" s="1">
        <v>48.5</v>
      </c>
      <c r="Q160" s="15">
        <v>3.81</v>
      </c>
    </row>
    <row r="161" spans="1:17" x14ac:dyDescent="0.25">
      <c r="A161" s="122">
        <v>159</v>
      </c>
      <c r="B161" s="1">
        <v>3.4</v>
      </c>
      <c r="C161" s="1">
        <v>6.3</v>
      </c>
      <c r="D161" s="1">
        <v>53.6</v>
      </c>
      <c r="E161" s="15">
        <v>2.81</v>
      </c>
      <c r="F161" s="1">
        <v>3.4</v>
      </c>
      <c r="G161" s="1">
        <v>6.2</v>
      </c>
      <c r="H161" s="1">
        <v>53.7</v>
      </c>
      <c r="I161" s="15">
        <v>2.86</v>
      </c>
      <c r="J161" s="1">
        <v>3.4</v>
      </c>
      <c r="K161" s="1">
        <v>6.3</v>
      </c>
      <c r="L161" s="1">
        <v>47.3</v>
      </c>
      <c r="M161" s="15">
        <v>2.19</v>
      </c>
      <c r="N161" s="1">
        <v>3.4</v>
      </c>
      <c r="O161" s="1">
        <v>5.7</v>
      </c>
      <c r="P161" s="1">
        <v>48.6</v>
      </c>
      <c r="Q161" s="15">
        <v>2.48</v>
      </c>
    </row>
    <row r="162" spans="1:17" x14ac:dyDescent="0.25">
      <c r="A162" s="122">
        <v>160</v>
      </c>
      <c r="B162" s="1">
        <v>3.4</v>
      </c>
      <c r="C162" s="1">
        <v>6.2</v>
      </c>
      <c r="D162" s="1">
        <v>54.9</v>
      </c>
      <c r="E162" s="15">
        <v>3.41</v>
      </c>
      <c r="F162" s="1">
        <v>3.4</v>
      </c>
      <c r="G162" s="1">
        <v>6.1</v>
      </c>
      <c r="H162" s="1">
        <v>53.6</v>
      </c>
      <c r="I162" s="15">
        <v>2.92</v>
      </c>
      <c r="J162" s="1">
        <v>3.4</v>
      </c>
      <c r="K162" s="1">
        <v>5.6</v>
      </c>
      <c r="L162" s="1">
        <v>47.4</v>
      </c>
      <c r="M162" s="15">
        <v>2.16</v>
      </c>
      <c r="N162" s="1">
        <v>3.4</v>
      </c>
      <c r="O162" s="1">
        <v>6.3</v>
      </c>
      <c r="P162" s="1">
        <v>50</v>
      </c>
      <c r="Q162" s="15">
        <v>2.02</v>
      </c>
    </row>
    <row r="163" spans="1:17" x14ac:dyDescent="0.25">
      <c r="A163" s="122">
        <v>161</v>
      </c>
      <c r="B163" s="1">
        <v>3.5</v>
      </c>
      <c r="C163" s="1">
        <v>5.7</v>
      </c>
      <c r="D163" s="1">
        <v>54.4</v>
      </c>
      <c r="E163" s="15">
        <v>2.2799999999999998</v>
      </c>
      <c r="F163" s="1">
        <v>3.4</v>
      </c>
      <c r="G163" s="1">
        <v>5.8</v>
      </c>
      <c r="H163" s="1">
        <v>53.6</v>
      </c>
      <c r="I163" s="15">
        <v>2.79</v>
      </c>
      <c r="J163" s="1">
        <v>3.4</v>
      </c>
      <c r="K163" s="1">
        <v>5.9</v>
      </c>
      <c r="L163" s="1">
        <v>47.2</v>
      </c>
      <c r="M163" s="15">
        <v>2.2400000000000002</v>
      </c>
      <c r="N163" s="1">
        <v>3.4</v>
      </c>
      <c r="O163" s="1">
        <v>6.2</v>
      </c>
      <c r="P163" s="1">
        <v>49.2</v>
      </c>
      <c r="Q163" s="15">
        <v>2.13</v>
      </c>
    </row>
    <row r="164" spans="1:17" x14ac:dyDescent="0.25">
      <c r="A164" s="122">
        <v>162</v>
      </c>
      <c r="B164" s="1">
        <v>3.4</v>
      </c>
      <c r="C164" s="1">
        <v>6.2</v>
      </c>
      <c r="D164" s="1">
        <v>55.6</v>
      </c>
      <c r="E164" s="15">
        <v>2.63</v>
      </c>
      <c r="F164" s="1">
        <v>3.4</v>
      </c>
      <c r="G164" s="1">
        <v>6.3</v>
      </c>
      <c r="H164" s="1">
        <v>53.6</v>
      </c>
      <c r="I164" s="15">
        <v>2.78</v>
      </c>
      <c r="J164" s="1">
        <v>3.4</v>
      </c>
      <c r="K164" s="1">
        <v>6.3</v>
      </c>
      <c r="L164" s="1">
        <v>47.3</v>
      </c>
      <c r="M164" s="15">
        <v>2.13</v>
      </c>
      <c r="N164" s="1">
        <v>3.4</v>
      </c>
      <c r="O164" s="1">
        <v>6</v>
      </c>
      <c r="P164" s="1">
        <v>48.5</v>
      </c>
      <c r="Q164" s="15">
        <v>1.96</v>
      </c>
    </row>
    <row r="165" spans="1:17" x14ac:dyDescent="0.25">
      <c r="A165" s="122">
        <v>163</v>
      </c>
      <c r="B165" s="1">
        <v>3.4</v>
      </c>
      <c r="C165" s="1">
        <v>6.1</v>
      </c>
      <c r="D165" s="1">
        <v>55.2</v>
      </c>
      <c r="E165" s="15">
        <v>2.84</v>
      </c>
      <c r="F165" s="1">
        <v>3.4</v>
      </c>
      <c r="G165" s="1">
        <v>6.2</v>
      </c>
      <c r="H165" s="1">
        <v>53.6</v>
      </c>
      <c r="I165" s="15">
        <v>2.84</v>
      </c>
      <c r="J165" s="1">
        <v>3.4</v>
      </c>
      <c r="K165" s="1">
        <v>6.2</v>
      </c>
      <c r="L165" s="1">
        <v>47.3</v>
      </c>
      <c r="M165" s="15">
        <v>2.19</v>
      </c>
      <c r="N165" s="1">
        <v>3.4</v>
      </c>
      <c r="O165" s="1">
        <v>5.8</v>
      </c>
      <c r="P165" s="1">
        <v>48.4</v>
      </c>
      <c r="Q165" s="15">
        <v>2.16</v>
      </c>
    </row>
    <row r="166" spans="1:17" x14ac:dyDescent="0.25">
      <c r="A166" s="122">
        <v>164</v>
      </c>
      <c r="B166" s="1">
        <v>3.5</v>
      </c>
      <c r="C166" s="1">
        <v>5.9</v>
      </c>
      <c r="D166" s="1">
        <v>54.9</v>
      </c>
      <c r="E166" s="15">
        <v>3.94</v>
      </c>
      <c r="F166" s="1">
        <v>3.4</v>
      </c>
      <c r="G166" s="1">
        <v>6</v>
      </c>
      <c r="H166" s="1">
        <v>53.7</v>
      </c>
      <c r="I166" s="15">
        <v>2.81</v>
      </c>
      <c r="J166" s="1">
        <v>3.4</v>
      </c>
      <c r="K166" s="1">
        <v>6.1</v>
      </c>
      <c r="L166" s="1">
        <v>47.3</v>
      </c>
      <c r="M166" s="15">
        <v>2.21</v>
      </c>
      <c r="N166" s="1">
        <v>3.4</v>
      </c>
      <c r="O166" s="1">
        <v>6.3</v>
      </c>
      <c r="P166" s="1">
        <v>48.6</v>
      </c>
      <c r="Q166" s="15">
        <v>2.1800000000000002</v>
      </c>
    </row>
    <row r="167" spans="1:17" x14ac:dyDescent="0.25">
      <c r="A167" s="122">
        <v>165</v>
      </c>
      <c r="B167" s="1">
        <v>3.4</v>
      </c>
      <c r="C167" s="1">
        <v>6.1</v>
      </c>
      <c r="D167" s="1">
        <v>53.9</v>
      </c>
      <c r="E167" s="15">
        <v>2.78</v>
      </c>
      <c r="F167" s="1">
        <v>3.4</v>
      </c>
      <c r="G167" s="1">
        <v>5.7</v>
      </c>
      <c r="H167" s="1">
        <v>53.9</v>
      </c>
      <c r="I167" s="15">
        <v>2.78</v>
      </c>
      <c r="J167" s="1">
        <v>3.4</v>
      </c>
      <c r="K167" s="1">
        <v>5.9</v>
      </c>
      <c r="L167" s="1">
        <v>47.5</v>
      </c>
      <c r="M167" s="15">
        <v>2.25</v>
      </c>
      <c r="N167" s="1">
        <v>3.4</v>
      </c>
      <c r="O167" s="1">
        <v>6.2</v>
      </c>
      <c r="P167" s="1">
        <v>48.8</v>
      </c>
      <c r="Q167" s="15">
        <v>3.4</v>
      </c>
    </row>
    <row r="168" spans="1:17" x14ac:dyDescent="0.25">
      <c r="A168" s="122">
        <v>166</v>
      </c>
      <c r="B168" s="1">
        <v>3.4</v>
      </c>
      <c r="C168" s="1">
        <v>6.2</v>
      </c>
      <c r="D168" s="1">
        <v>54.7</v>
      </c>
      <c r="E168" s="15">
        <v>3.64</v>
      </c>
      <c r="F168" s="1">
        <v>3.4</v>
      </c>
      <c r="G168" s="1">
        <v>6.2</v>
      </c>
      <c r="H168" s="1">
        <v>54.1</v>
      </c>
      <c r="I168" s="15">
        <v>2.75</v>
      </c>
      <c r="J168" s="1">
        <v>3.4</v>
      </c>
      <c r="K168" s="1">
        <v>6.3</v>
      </c>
      <c r="L168" s="1">
        <v>47.7</v>
      </c>
      <c r="M168" s="15">
        <v>2.39</v>
      </c>
      <c r="N168" s="1">
        <v>3.4</v>
      </c>
      <c r="O168" s="1">
        <v>6.1</v>
      </c>
      <c r="P168" s="1">
        <v>49</v>
      </c>
      <c r="Q168" s="15">
        <v>3.49</v>
      </c>
    </row>
    <row r="169" spans="1:17" x14ac:dyDescent="0.25">
      <c r="A169" s="122">
        <v>167</v>
      </c>
      <c r="B169" s="1">
        <v>3.4</v>
      </c>
      <c r="C169" s="1">
        <v>6.1</v>
      </c>
      <c r="D169" s="1">
        <v>54.1</v>
      </c>
      <c r="E169" s="15">
        <v>2.73</v>
      </c>
      <c r="F169" s="1">
        <v>3.4</v>
      </c>
      <c r="G169" s="1">
        <v>6.1</v>
      </c>
      <c r="H169" s="1">
        <v>54.3</v>
      </c>
      <c r="I169" s="15">
        <v>2.73</v>
      </c>
      <c r="J169" s="1">
        <v>3.4</v>
      </c>
      <c r="K169" s="1">
        <v>6.2</v>
      </c>
      <c r="L169" s="1">
        <v>48</v>
      </c>
      <c r="M169" s="15">
        <v>3.76</v>
      </c>
      <c r="N169" s="1">
        <v>3.4</v>
      </c>
      <c r="O169" s="1">
        <v>5.8</v>
      </c>
      <c r="P169" s="1">
        <v>49.1</v>
      </c>
      <c r="Q169" s="15">
        <v>3.8</v>
      </c>
    </row>
    <row r="170" spans="1:17" x14ac:dyDescent="0.25">
      <c r="A170" s="122">
        <v>168</v>
      </c>
      <c r="B170" s="1">
        <v>3.4</v>
      </c>
      <c r="C170" s="1">
        <v>5.8</v>
      </c>
      <c r="D170" s="1">
        <v>54.3</v>
      </c>
      <c r="E170" s="15">
        <v>3.02</v>
      </c>
      <c r="F170" s="1">
        <v>3.4</v>
      </c>
      <c r="G170" s="1">
        <v>5.9</v>
      </c>
      <c r="H170" s="1">
        <v>54.5</v>
      </c>
      <c r="I170" s="15">
        <v>2.81</v>
      </c>
      <c r="J170" s="1">
        <v>3.4</v>
      </c>
      <c r="K170" s="1">
        <v>6.1</v>
      </c>
      <c r="L170" s="1">
        <v>48.2</v>
      </c>
      <c r="M170" s="15">
        <v>3.76</v>
      </c>
      <c r="N170" s="1">
        <v>3.4</v>
      </c>
      <c r="O170" s="1">
        <v>6.3</v>
      </c>
      <c r="P170" s="1">
        <v>48.8</v>
      </c>
      <c r="Q170" s="15">
        <v>3.74</v>
      </c>
    </row>
    <row r="171" spans="1:17" x14ac:dyDescent="0.25">
      <c r="A171" s="122">
        <v>169</v>
      </c>
      <c r="B171" s="1">
        <v>3.4</v>
      </c>
      <c r="C171" s="1">
        <v>6.3</v>
      </c>
      <c r="D171" s="1">
        <v>54</v>
      </c>
      <c r="E171" s="15">
        <v>2.78</v>
      </c>
      <c r="F171" s="1">
        <v>3.4</v>
      </c>
      <c r="G171" s="1">
        <v>6.2</v>
      </c>
      <c r="H171" s="1">
        <v>53.6</v>
      </c>
      <c r="I171" s="15">
        <v>2.67</v>
      </c>
      <c r="J171" s="1">
        <v>3.4</v>
      </c>
      <c r="K171" s="1">
        <v>5.9</v>
      </c>
      <c r="L171" s="1">
        <v>48.2</v>
      </c>
      <c r="M171" s="15">
        <v>3.55</v>
      </c>
      <c r="N171" s="1">
        <v>3.4</v>
      </c>
      <c r="O171" s="1">
        <v>6.2</v>
      </c>
      <c r="P171" s="1">
        <v>48.6</v>
      </c>
      <c r="Q171" s="15">
        <v>3.53</v>
      </c>
    </row>
    <row r="172" spans="1:17" x14ac:dyDescent="0.25">
      <c r="A172" s="122">
        <v>170</v>
      </c>
      <c r="B172" s="1">
        <v>3.4</v>
      </c>
      <c r="C172" s="1">
        <v>6.2</v>
      </c>
      <c r="D172" s="1">
        <v>54.4</v>
      </c>
      <c r="E172" s="15">
        <v>2.93</v>
      </c>
      <c r="F172" s="1">
        <v>3.4</v>
      </c>
      <c r="G172" s="1">
        <v>6.2</v>
      </c>
      <c r="H172" s="1">
        <v>54.2</v>
      </c>
      <c r="I172" s="15">
        <v>2.7</v>
      </c>
      <c r="J172" s="1">
        <v>3.4</v>
      </c>
      <c r="K172" s="1">
        <v>6.2</v>
      </c>
      <c r="L172" s="1">
        <v>48.2</v>
      </c>
      <c r="M172" s="15">
        <v>3.12</v>
      </c>
      <c r="N172" s="1">
        <v>3.4</v>
      </c>
      <c r="O172" s="1">
        <v>6.1</v>
      </c>
      <c r="P172" s="1">
        <v>48.4</v>
      </c>
      <c r="Q172" s="15">
        <v>2.82</v>
      </c>
    </row>
    <row r="173" spans="1:17" x14ac:dyDescent="0.25">
      <c r="A173" s="122">
        <v>171</v>
      </c>
      <c r="B173" s="1">
        <v>3.4</v>
      </c>
      <c r="C173" s="1">
        <v>6</v>
      </c>
      <c r="D173" s="1">
        <v>54.5</v>
      </c>
      <c r="E173" s="15">
        <v>2.92</v>
      </c>
      <c r="F173" s="1">
        <v>3.4</v>
      </c>
      <c r="G173" s="1">
        <v>6.1</v>
      </c>
      <c r="H173" s="1">
        <v>54.6</v>
      </c>
      <c r="I173" s="15">
        <v>2.78</v>
      </c>
      <c r="J173" s="1">
        <v>3.4</v>
      </c>
      <c r="K173" s="1">
        <v>6.2</v>
      </c>
      <c r="L173" s="1">
        <v>48.1</v>
      </c>
      <c r="M173" s="15">
        <v>2.75</v>
      </c>
      <c r="N173" s="1">
        <v>3.4</v>
      </c>
      <c r="O173" s="1">
        <v>5.8</v>
      </c>
      <c r="P173" s="1">
        <v>48.3</v>
      </c>
      <c r="Q173" s="15">
        <v>2.19</v>
      </c>
    </row>
    <row r="174" spans="1:17" x14ac:dyDescent="0.25">
      <c r="A174" s="122">
        <v>172</v>
      </c>
      <c r="B174" s="1">
        <v>3.4</v>
      </c>
      <c r="C174" s="1">
        <v>5.7</v>
      </c>
      <c r="D174" s="1">
        <v>54.6</v>
      </c>
      <c r="E174" s="15">
        <v>2.97</v>
      </c>
      <c r="F174" s="1">
        <v>3.4</v>
      </c>
      <c r="G174" s="1">
        <v>5.8</v>
      </c>
      <c r="H174" s="1">
        <v>54.7</v>
      </c>
      <c r="I174" s="15">
        <v>2.75</v>
      </c>
      <c r="J174" s="1">
        <v>3.4</v>
      </c>
      <c r="K174" s="1">
        <v>6.1</v>
      </c>
      <c r="L174" s="1">
        <v>48</v>
      </c>
      <c r="M174" s="15">
        <v>2.4900000000000002</v>
      </c>
      <c r="N174" s="1">
        <v>3.4</v>
      </c>
      <c r="O174" s="1">
        <v>6.3</v>
      </c>
      <c r="P174" s="1">
        <v>48.3</v>
      </c>
      <c r="Q174" s="15">
        <v>2.23</v>
      </c>
    </row>
    <row r="175" spans="1:17" x14ac:dyDescent="0.25">
      <c r="A175" s="122">
        <v>173</v>
      </c>
      <c r="B175" s="1">
        <v>3.4</v>
      </c>
      <c r="C175" s="1">
        <v>6.3</v>
      </c>
      <c r="D175" s="1">
        <v>54.6</v>
      </c>
      <c r="E175" s="15">
        <v>2.95</v>
      </c>
      <c r="F175" s="1">
        <v>3.4</v>
      </c>
      <c r="G175" s="1">
        <v>6.3</v>
      </c>
      <c r="H175" s="1">
        <v>54.7</v>
      </c>
      <c r="I175" s="15">
        <v>3.65</v>
      </c>
      <c r="J175" s="1">
        <v>3.4</v>
      </c>
      <c r="K175" s="1">
        <v>5.8</v>
      </c>
      <c r="L175" s="1">
        <v>48.1</v>
      </c>
      <c r="M175" s="15">
        <v>2.78</v>
      </c>
      <c r="N175" s="1">
        <v>3.4</v>
      </c>
      <c r="O175" s="1">
        <v>6.2</v>
      </c>
      <c r="P175" s="1">
        <v>48.1</v>
      </c>
      <c r="Q175" s="15">
        <v>2.1</v>
      </c>
    </row>
    <row r="176" spans="1:17" x14ac:dyDescent="0.25">
      <c r="A176" s="122">
        <v>174</v>
      </c>
      <c r="B176" s="1">
        <v>3.4</v>
      </c>
      <c r="C176" s="1">
        <v>6.2</v>
      </c>
      <c r="D176" s="1">
        <v>54.5</v>
      </c>
      <c r="E176" s="15">
        <v>2.92</v>
      </c>
      <c r="F176" s="1">
        <v>3.4</v>
      </c>
      <c r="G176" s="1">
        <v>6.2</v>
      </c>
      <c r="H176" s="1">
        <v>54</v>
      </c>
      <c r="I176" s="15">
        <v>2.73</v>
      </c>
      <c r="J176" s="1">
        <v>3.4</v>
      </c>
      <c r="K176" s="1">
        <v>6.3</v>
      </c>
      <c r="L176" s="1">
        <v>48.1</v>
      </c>
      <c r="M176" s="15">
        <v>2.98</v>
      </c>
      <c r="N176" s="1">
        <v>3.4</v>
      </c>
      <c r="O176" s="1">
        <v>6.1</v>
      </c>
      <c r="P176" s="1">
        <v>48.3</v>
      </c>
      <c r="Q176" s="15">
        <v>2.15</v>
      </c>
    </row>
    <row r="177" spans="1:17" x14ac:dyDescent="0.25">
      <c r="A177" s="122">
        <v>175</v>
      </c>
      <c r="B177" s="1">
        <v>3.4</v>
      </c>
      <c r="C177" s="1">
        <v>5.9</v>
      </c>
      <c r="D177" s="1">
        <v>54.4</v>
      </c>
      <c r="E177" s="15">
        <v>2.96</v>
      </c>
      <c r="F177" s="1">
        <v>3.4</v>
      </c>
      <c r="G177" s="1">
        <v>6</v>
      </c>
      <c r="H177" s="1">
        <v>54.6</v>
      </c>
      <c r="I177" s="15">
        <v>2.72</v>
      </c>
      <c r="J177" s="1">
        <v>3.4</v>
      </c>
      <c r="K177" s="1">
        <v>6.2</v>
      </c>
      <c r="L177" s="1">
        <v>48.2</v>
      </c>
      <c r="M177" s="15">
        <v>3.09</v>
      </c>
      <c r="N177" s="1">
        <v>3.4</v>
      </c>
      <c r="O177" s="1">
        <v>5.8</v>
      </c>
      <c r="P177" s="1">
        <v>48.3</v>
      </c>
      <c r="Q177" s="15">
        <v>2.1800000000000002</v>
      </c>
    </row>
    <row r="178" spans="1:17" x14ac:dyDescent="0.25">
      <c r="A178" s="122">
        <v>176</v>
      </c>
      <c r="B178" s="1">
        <v>3.4</v>
      </c>
      <c r="C178" s="1">
        <v>6</v>
      </c>
      <c r="D178" s="1">
        <v>54.2</v>
      </c>
      <c r="E178" s="15">
        <v>2.95</v>
      </c>
      <c r="F178" s="1">
        <v>3.4</v>
      </c>
      <c r="G178" s="1">
        <v>5.7</v>
      </c>
      <c r="H178" s="1">
        <v>54.9</v>
      </c>
      <c r="I178" s="15">
        <v>2.78</v>
      </c>
      <c r="J178" s="1">
        <v>3.4</v>
      </c>
      <c r="K178" s="1">
        <v>6</v>
      </c>
      <c r="L178" s="1">
        <v>48.3</v>
      </c>
      <c r="M178" s="15">
        <v>3.49</v>
      </c>
      <c r="N178" s="1">
        <v>3.4</v>
      </c>
      <c r="O178" s="1">
        <v>6.3</v>
      </c>
      <c r="P178" s="1">
        <v>48.2</v>
      </c>
      <c r="Q178" s="15">
        <v>2.2200000000000002</v>
      </c>
    </row>
    <row r="179" spans="1:17" x14ac:dyDescent="0.25">
      <c r="A179" s="122">
        <v>177</v>
      </c>
      <c r="B179" s="1">
        <v>3.4</v>
      </c>
      <c r="C179" s="1">
        <v>6.2</v>
      </c>
      <c r="D179" s="1">
        <v>54</v>
      </c>
      <c r="E179" s="15">
        <v>2.92</v>
      </c>
      <c r="F179" s="1">
        <v>3.4</v>
      </c>
      <c r="G179" s="1">
        <v>6.2</v>
      </c>
      <c r="H179" s="1">
        <v>53.9</v>
      </c>
      <c r="I179" s="15">
        <v>2.61</v>
      </c>
      <c r="J179" s="1">
        <v>3.4</v>
      </c>
      <c r="K179" s="1">
        <v>5.7</v>
      </c>
      <c r="L179" s="1">
        <v>48.2</v>
      </c>
      <c r="M179" s="15">
        <v>3.74</v>
      </c>
      <c r="N179" s="1">
        <v>3.4</v>
      </c>
      <c r="O179" s="1">
        <v>6.2</v>
      </c>
      <c r="P179" s="1">
        <v>48.4</v>
      </c>
      <c r="Q179" s="15">
        <v>2.2200000000000002</v>
      </c>
    </row>
    <row r="180" spans="1:17" x14ac:dyDescent="0.25">
      <c r="A180" s="122">
        <v>178</v>
      </c>
      <c r="B180" s="1">
        <v>3.4</v>
      </c>
      <c r="C180" s="1">
        <v>6.1</v>
      </c>
      <c r="D180" s="1">
        <v>53.8</v>
      </c>
      <c r="E180" s="15">
        <v>2.92</v>
      </c>
      <c r="F180" s="1">
        <v>3.4</v>
      </c>
      <c r="G180" s="1">
        <v>6.2</v>
      </c>
      <c r="H180" s="1">
        <v>54.6</v>
      </c>
      <c r="I180" s="15">
        <v>2.72</v>
      </c>
      <c r="J180" s="1">
        <v>3.4</v>
      </c>
      <c r="K180" s="1">
        <v>6.2</v>
      </c>
      <c r="L180" s="1">
        <v>48.2</v>
      </c>
      <c r="M180" s="15">
        <v>3.68</v>
      </c>
      <c r="N180" s="1">
        <v>3.4</v>
      </c>
      <c r="O180" s="1">
        <v>6.1</v>
      </c>
      <c r="P180" s="1">
        <v>48.3</v>
      </c>
      <c r="Q180" s="15">
        <v>2.21</v>
      </c>
    </row>
    <row r="181" spans="1:17" x14ac:dyDescent="0.25">
      <c r="A181" s="122">
        <v>179</v>
      </c>
      <c r="B181" s="1">
        <v>3.4</v>
      </c>
      <c r="C181" s="1">
        <v>5.8</v>
      </c>
      <c r="D181" s="1">
        <v>53.6</v>
      </c>
      <c r="E181" s="15">
        <v>2.89</v>
      </c>
      <c r="F181" s="1">
        <v>3.4</v>
      </c>
      <c r="G181" s="1">
        <v>6</v>
      </c>
      <c r="H181" s="1">
        <v>54.9</v>
      </c>
      <c r="I181" s="15">
        <v>2.78</v>
      </c>
      <c r="J181" s="1">
        <v>3.4</v>
      </c>
      <c r="K181" s="1">
        <v>6.2</v>
      </c>
      <c r="L181" s="1">
        <v>48</v>
      </c>
      <c r="M181" s="15">
        <v>3.7</v>
      </c>
      <c r="N181" s="1">
        <v>3.4</v>
      </c>
      <c r="O181" s="1">
        <v>5.9</v>
      </c>
      <c r="P181" s="1">
        <v>48.3</v>
      </c>
      <c r="Q181" s="15">
        <v>2.16</v>
      </c>
    </row>
    <row r="182" spans="1:17" x14ac:dyDescent="0.25">
      <c r="A182" s="122">
        <v>180</v>
      </c>
      <c r="B182" s="1">
        <v>3.4</v>
      </c>
      <c r="C182" s="1">
        <v>6.3</v>
      </c>
      <c r="D182" s="1">
        <v>53.6</v>
      </c>
      <c r="E182" s="15">
        <v>2.93</v>
      </c>
      <c r="F182" s="1">
        <v>3.4</v>
      </c>
      <c r="G182" s="1">
        <v>6.3</v>
      </c>
      <c r="H182" s="1">
        <v>54</v>
      </c>
      <c r="I182" s="15">
        <v>2.67</v>
      </c>
      <c r="J182" s="1">
        <v>3.4</v>
      </c>
      <c r="K182" s="1">
        <v>5.9</v>
      </c>
      <c r="L182" s="1">
        <v>47.9</v>
      </c>
      <c r="M182" s="15">
        <v>3.25</v>
      </c>
      <c r="N182" s="1">
        <v>3.4</v>
      </c>
      <c r="O182" s="1">
        <v>6.3</v>
      </c>
      <c r="P182" s="1">
        <v>48.3</v>
      </c>
      <c r="Q182" s="15">
        <v>1.9</v>
      </c>
    </row>
    <row r="183" spans="1:17" x14ac:dyDescent="0.25">
      <c r="A183" s="122">
        <v>181</v>
      </c>
      <c r="B183" s="1">
        <v>3.4</v>
      </c>
      <c r="C183" s="1">
        <v>6.2</v>
      </c>
      <c r="D183" s="1">
        <v>53.4</v>
      </c>
      <c r="E183" s="15">
        <v>2.96</v>
      </c>
      <c r="F183" s="1">
        <v>3.4</v>
      </c>
      <c r="G183" s="1">
        <v>6.2</v>
      </c>
      <c r="H183" s="1">
        <v>54.6</v>
      </c>
      <c r="I183" s="15">
        <v>2.69</v>
      </c>
      <c r="J183" s="1">
        <v>3.4</v>
      </c>
      <c r="K183" s="1">
        <v>6.2</v>
      </c>
      <c r="L183" s="1">
        <v>47.6</v>
      </c>
      <c r="M183" s="15">
        <v>2.36</v>
      </c>
      <c r="N183" s="1">
        <v>3.4</v>
      </c>
      <c r="O183" s="1">
        <v>6.2</v>
      </c>
      <c r="P183" s="1">
        <v>48.6</v>
      </c>
      <c r="Q183" s="15">
        <v>2.1</v>
      </c>
    </row>
    <row r="184" spans="1:17" x14ac:dyDescent="0.25">
      <c r="A184" s="122">
        <v>182</v>
      </c>
      <c r="B184" s="1">
        <v>3.4</v>
      </c>
      <c r="C184" s="1">
        <v>6.1</v>
      </c>
      <c r="D184" s="1">
        <v>53.1</v>
      </c>
      <c r="E184" s="15">
        <v>2.92</v>
      </c>
      <c r="F184" s="1">
        <v>3.4</v>
      </c>
      <c r="G184" s="1">
        <v>6.1</v>
      </c>
      <c r="H184" s="1">
        <v>54.5</v>
      </c>
      <c r="I184" s="15">
        <v>2.86</v>
      </c>
      <c r="J184" s="1">
        <v>3.4</v>
      </c>
      <c r="K184" s="1">
        <v>6.2</v>
      </c>
      <c r="L184" s="1">
        <v>47.6</v>
      </c>
      <c r="M184" s="15">
        <v>2.33</v>
      </c>
      <c r="N184" s="1">
        <v>3.4</v>
      </c>
      <c r="O184" s="1">
        <v>6</v>
      </c>
      <c r="P184" s="1">
        <v>48.3</v>
      </c>
      <c r="Q184" s="15">
        <v>2.11</v>
      </c>
    </row>
    <row r="185" spans="1:17" x14ac:dyDescent="0.25">
      <c r="A185" s="122">
        <v>183</v>
      </c>
      <c r="B185" s="1">
        <v>3.4</v>
      </c>
      <c r="C185" s="1">
        <v>5.8</v>
      </c>
      <c r="D185" s="1">
        <v>52.9</v>
      </c>
      <c r="E185" s="15">
        <v>2.86</v>
      </c>
      <c r="F185" s="1">
        <v>3.4</v>
      </c>
      <c r="G185" s="1">
        <v>5.8</v>
      </c>
      <c r="H185" s="1">
        <v>54.4</v>
      </c>
      <c r="I185" s="15">
        <v>2.73</v>
      </c>
      <c r="J185" s="1">
        <v>3.4</v>
      </c>
      <c r="K185" s="1">
        <v>6.1</v>
      </c>
      <c r="L185" s="1">
        <v>47.4</v>
      </c>
      <c r="M185" s="15">
        <v>2.1800000000000002</v>
      </c>
      <c r="N185" s="1">
        <v>3.4</v>
      </c>
      <c r="O185" s="1">
        <v>6</v>
      </c>
      <c r="P185" s="1">
        <v>48.3</v>
      </c>
      <c r="Q185" s="15">
        <v>2.13</v>
      </c>
    </row>
    <row r="186" spans="1:17" x14ac:dyDescent="0.25">
      <c r="A186" s="122">
        <v>184</v>
      </c>
      <c r="B186" s="1">
        <v>3.4</v>
      </c>
      <c r="C186" s="1">
        <v>6.3</v>
      </c>
      <c r="D186" s="1">
        <v>52.6</v>
      </c>
      <c r="E186" s="15">
        <v>2.87</v>
      </c>
      <c r="F186" s="1">
        <v>3.4</v>
      </c>
      <c r="G186" s="1">
        <v>6.3</v>
      </c>
      <c r="H186" s="1">
        <v>53.9</v>
      </c>
      <c r="I186" s="15">
        <v>2.4700000000000002</v>
      </c>
      <c r="J186" s="1">
        <v>3.4</v>
      </c>
      <c r="K186" s="1">
        <v>5.8</v>
      </c>
      <c r="L186" s="1">
        <v>47.4</v>
      </c>
      <c r="M186" s="15">
        <v>2.21</v>
      </c>
      <c r="N186" s="1">
        <v>3.4</v>
      </c>
      <c r="O186" s="1">
        <v>6.2</v>
      </c>
      <c r="P186" s="1">
        <v>48.7</v>
      </c>
      <c r="Q186" s="15">
        <v>2.1800000000000002</v>
      </c>
    </row>
    <row r="187" spans="1:17" x14ac:dyDescent="0.25">
      <c r="A187" s="122">
        <v>185</v>
      </c>
      <c r="B187" s="1">
        <v>3.4</v>
      </c>
      <c r="C187" s="1">
        <v>6.2</v>
      </c>
      <c r="D187" s="1">
        <v>52.3</v>
      </c>
      <c r="E187" s="15">
        <v>2.78</v>
      </c>
      <c r="F187" s="1">
        <v>3.4</v>
      </c>
      <c r="G187" s="1">
        <v>6.1</v>
      </c>
      <c r="H187" s="1">
        <v>54.8</v>
      </c>
      <c r="I187" s="15">
        <v>2.4700000000000002</v>
      </c>
      <c r="J187" s="1">
        <v>3.4</v>
      </c>
      <c r="K187" s="1">
        <v>5.4</v>
      </c>
      <c r="L187" s="1">
        <v>47.6</v>
      </c>
      <c r="M187" s="15">
        <v>2.16</v>
      </c>
      <c r="N187" s="1">
        <v>3.4</v>
      </c>
      <c r="O187" s="1">
        <v>6.2</v>
      </c>
      <c r="P187" s="1">
        <v>48.6</v>
      </c>
      <c r="Q187" s="15">
        <v>2.2400000000000002</v>
      </c>
    </row>
    <row r="188" spans="1:17" x14ac:dyDescent="0.25">
      <c r="A188" s="122">
        <v>186</v>
      </c>
      <c r="B188" s="1">
        <v>3.4</v>
      </c>
      <c r="C188" s="1">
        <v>5.7</v>
      </c>
      <c r="D188" s="1">
        <v>52</v>
      </c>
      <c r="E188" s="15">
        <v>2.75</v>
      </c>
      <c r="F188" s="1">
        <v>3.4</v>
      </c>
      <c r="G188" s="1">
        <v>6</v>
      </c>
      <c r="H188" s="1">
        <v>54.2</v>
      </c>
      <c r="I188" s="15">
        <v>2.39</v>
      </c>
      <c r="J188" s="1">
        <v>3.4</v>
      </c>
      <c r="K188" s="1">
        <v>6.2</v>
      </c>
      <c r="L188" s="1">
        <v>47.3</v>
      </c>
      <c r="M188" s="15">
        <v>2.12</v>
      </c>
      <c r="N188" s="1">
        <v>3.4</v>
      </c>
      <c r="O188" s="1">
        <v>6</v>
      </c>
      <c r="P188" s="1">
        <v>48.8</v>
      </c>
      <c r="Q188" s="15">
        <v>2.33</v>
      </c>
    </row>
    <row r="189" spans="1:17" x14ac:dyDescent="0.25">
      <c r="A189" s="122">
        <v>187</v>
      </c>
      <c r="B189" s="1">
        <v>3.4</v>
      </c>
      <c r="C189" s="1">
        <v>6.3</v>
      </c>
      <c r="D189" s="1">
        <v>51.8</v>
      </c>
      <c r="E189" s="15">
        <v>2.79</v>
      </c>
      <c r="F189" s="1">
        <v>3.4</v>
      </c>
      <c r="G189" s="1">
        <v>5.7</v>
      </c>
      <c r="H189" s="1">
        <v>54</v>
      </c>
      <c r="I189" s="15">
        <v>2.41</v>
      </c>
      <c r="J189" s="1">
        <v>3.4</v>
      </c>
      <c r="K189" s="1">
        <v>6</v>
      </c>
      <c r="L189" s="1">
        <v>47.4</v>
      </c>
      <c r="M189" s="15">
        <v>2.21</v>
      </c>
      <c r="N189" s="1">
        <v>3.4</v>
      </c>
      <c r="O189" s="1">
        <v>5.8</v>
      </c>
      <c r="P189" s="1">
        <v>49.1</v>
      </c>
      <c r="Q189" s="15">
        <v>2.69</v>
      </c>
    </row>
    <row r="190" spans="1:17" x14ac:dyDescent="0.25">
      <c r="A190" s="122">
        <v>188</v>
      </c>
      <c r="B190" s="1">
        <v>3.4</v>
      </c>
      <c r="C190" s="1">
        <v>6.2</v>
      </c>
      <c r="D190" s="1">
        <v>51.7</v>
      </c>
      <c r="E190" s="15">
        <v>2.84</v>
      </c>
      <c r="F190" s="1">
        <v>3.4</v>
      </c>
      <c r="G190" s="1">
        <v>6.3</v>
      </c>
      <c r="H190" s="1">
        <v>55</v>
      </c>
      <c r="I190" s="15">
        <v>2.63</v>
      </c>
      <c r="J190" s="1">
        <v>3.4</v>
      </c>
      <c r="K190" s="1">
        <v>5.7</v>
      </c>
      <c r="L190" s="1">
        <v>47.4</v>
      </c>
      <c r="M190" s="15">
        <v>2.16</v>
      </c>
      <c r="N190" s="1">
        <v>3.4</v>
      </c>
      <c r="O190" s="1">
        <v>6.2</v>
      </c>
      <c r="P190" s="1">
        <v>49.1</v>
      </c>
      <c r="Q190" s="15">
        <v>3.46</v>
      </c>
    </row>
    <row r="191" spans="1:17" x14ac:dyDescent="0.25">
      <c r="A191" s="122">
        <v>189</v>
      </c>
      <c r="B191" s="1">
        <v>3.4</v>
      </c>
      <c r="C191" s="1">
        <v>6</v>
      </c>
      <c r="D191" s="1">
        <v>52</v>
      </c>
      <c r="E191" s="15">
        <v>2.83</v>
      </c>
      <c r="F191" s="1">
        <v>3.4</v>
      </c>
      <c r="G191" s="1">
        <v>6.2</v>
      </c>
      <c r="H191" s="1">
        <v>54.3</v>
      </c>
      <c r="I191" s="15">
        <v>2.58</v>
      </c>
      <c r="J191" s="1">
        <v>3.4</v>
      </c>
      <c r="K191" s="1">
        <v>6.2</v>
      </c>
      <c r="L191" s="1">
        <v>47.5</v>
      </c>
      <c r="M191" s="15">
        <v>2.19</v>
      </c>
      <c r="N191" s="1">
        <v>3.4</v>
      </c>
      <c r="O191" s="1">
        <v>6.2</v>
      </c>
      <c r="P191" s="1">
        <v>49.1</v>
      </c>
      <c r="Q191" s="15">
        <v>3.43</v>
      </c>
    </row>
    <row r="192" spans="1:17" x14ac:dyDescent="0.25">
      <c r="A192" s="122">
        <v>190</v>
      </c>
      <c r="B192" s="1">
        <v>3.4</v>
      </c>
      <c r="C192" s="1">
        <v>5.7</v>
      </c>
      <c r="D192" s="1">
        <v>52.6</v>
      </c>
      <c r="E192" s="15">
        <v>2.84</v>
      </c>
      <c r="F192" s="1">
        <v>3.4</v>
      </c>
      <c r="G192" s="1">
        <v>6</v>
      </c>
      <c r="H192" s="1">
        <v>54.8</v>
      </c>
      <c r="I192" s="15">
        <v>3.09</v>
      </c>
      <c r="J192" s="1">
        <v>3.4</v>
      </c>
      <c r="K192" s="1">
        <v>6.2</v>
      </c>
      <c r="L192" s="1">
        <v>47.6</v>
      </c>
      <c r="M192" s="15">
        <v>2.25</v>
      </c>
      <c r="N192" s="1">
        <v>3.4</v>
      </c>
      <c r="O192" s="1">
        <v>5.9</v>
      </c>
      <c r="P192" s="1">
        <v>49.2</v>
      </c>
      <c r="Q192" s="15">
        <v>3.57</v>
      </c>
    </row>
    <row r="193" spans="1:17" x14ac:dyDescent="0.25">
      <c r="A193" s="122">
        <v>191</v>
      </c>
      <c r="B193" s="1">
        <v>3.4</v>
      </c>
      <c r="C193" s="1">
        <v>6.2</v>
      </c>
      <c r="D193" s="1">
        <v>52.4</v>
      </c>
      <c r="E193" s="15">
        <v>2.84</v>
      </c>
      <c r="F193" s="1">
        <v>3.4</v>
      </c>
      <c r="G193" s="1">
        <v>5.8</v>
      </c>
      <c r="H193" s="1">
        <v>54.6</v>
      </c>
      <c r="I193" s="15">
        <v>2.67</v>
      </c>
      <c r="J193" s="1">
        <v>3.4</v>
      </c>
      <c r="K193" s="1">
        <v>5.9</v>
      </c>
      <c r="L193" s="1">
        <v>47.6</v>
      </c>
      <c r="M193" s="15">
        <v>2.27</v>
      </c>
      <c r="N193" s="1">
        <v>3.4</v>
      </c>
      <c r="O193" s="1">
        <v>5.7</v>
      </c>
      <c r="P193" s="1">
        <v>48.9</v>
      </c>
      <c r="Q193" s="15">
        <v>3.57</v>
      </c>
    </row>
    <row r="194" spans="1:17" x14ac:dyDescent="0.25">
      <c r="A194" s="122">
        <v>192</v>
      </c>
      <c r="B194" s="1">
        <v>3.4</v>
      </c>
      <c r="C194" s="1">
        <v>6.1</v>
      </c>
      <c r="D194" s="1">
        <v>52.5</v>
      </c>
      <c r="E194" s="15">
        <v>2.89</v>
      </c>
      <c r="F194" s="1">
        <v>3.4</v>
      </c>
      <c r="G194" s="1">
        <v>6.3</v>
      </c>
      <c r="H194" s="1">
        <v>55.2</v>
      </c>
      <c r="I194" s="15">
        <v>3.65</v>
      </c>
      <c r="J194" s="1">
        <v>3.4</v>
      </c>
      <c r="K194" s="1">
        <v>6.2</v>
      </c>
      <c r="L194" s="1">
        <v>47.7</v>
      </c>
      <c r="M194" s="15">
        <v>2.27</v>
      </c>
      <c r="N194" s="1">
        <v>3.4</v>
      </c>
      <c r="O194" s="1">
        <v>6.2</v>
      </c>
      <c r="P194" s="1">
        <v>48.7</v>
      </c>
      <c r="Q194" s="15">
        <v>2.06</v>
      </c>
    </row>
    <row r="195" spans="1:17" x14ac:dyDescent="0.25">
      <c r="A195" s="122">
        <v>193</v>
      </c>
      <c r="B195" s="1">
        <v>3.4</v>
      </c>
      <c r="C195" s="1">
        <v>5.9</v>
      </c>
      <c r="D195" s="1">
        <v>52.1</v>
      </c>
      <c r="E195" s="15">
        <v>2.87</v>
      </c>
      <c r="F195" s="1">
        <v>3.4</v>
      </c>
      <c r="G195" s="1">
        <v>6.2</v>
      </c>
      <c r="H195" s="1">
        <v>54.3</v>
      </c>
      <c r="I195" s="15">
        <v>2.62</v>
      </c>
      <c r="J195" s="1">
        <v>3.4</v>
      </c>
      <c r="K195" s="1">
        <v>6.2</v>
      </c>
      <c r="L195" s="1">
        <v>47.7</v>
      </c>
      <c r="M195" s="15">
        <v>2.38</v>
      </c>
      <c r="N195" s="1">
        <v>3.4</v>
      </c>
      <c r="O195" s="1">
        <v>6.2</v>
      </c>
      <c r="P195" s="1">
        <v>48.4</v>
      </c>
      <c r="Q195" s="15">
        <v>1.96</v>
      </c>
    </row>
    <row r="196" spans="1:17" x14ac:dyDescent="0.25">
      <c r="A196" s="122">
        <v>194</v>
      </c>
      <c r="B196" s="1">
        <v>3.4</v>
      </c>
      <c r="C196" s="1">
        <v>6.2</v>
      </c>
      <c r="D196" s="1">
        <v>52.2</v>
      </c>
      <c r="E196" s="15">
        <v>2.89</v>
      </c>
      <c r="F196" s="1">
        <v>3.4</v>
      </c>
      <c r="G196" s="1">
        <v>6</v>
      </c>
      <c r="H196" s="1">
        <v>55</v>
      </c>
      <c r="I196" s="15">
        <v>2.72</v>
      </c>
      <c r="J196" s="1">
        <v>3.4</v>
      </c>
      <c r="K196" s="1">
        <v>6.1</v>
      </c>
      <c r="L196" s="1">
        <v>47.6</v>
      </c>
      <c r="M196" s="15">
        <v>2.2799999999999998</v>
      </c>
      <c r="N196" s="1">
        <v>3.4</v>
      </c>
      <c r="O196" s="1">
        <v>6</v>
      </c>
      <c r="P196" s="1">
        <v>48.5</v>
      </c>
      <c r="Q196" s="15">
        <v>1.96</v>
      </c>
    </row>
    <row r="197" spans="1:17" x14ac:dyDescent="0.25">
      <c r="A197" s="122">
        <v>195</v>
      </c>
      <c r="B197" s="1">
        <v>3.4</v>
      </c>
      <c r="C197" s="1">
        <v>6.2</v>
      </c>
      <c r="D197" s="1">
        <v>52.5</v>
      </c>
      <c r="E197" s="15">
        <v>2.83</v>
      </c>
      <c r="F197" s="1">
        <v>3.4</v>
      </c>
      <c r="G197" s="1">
        <v>5.8</v>
      </c>
      <c r="H197" s="1">
        <v>54.9</v>
      </c>
      <c r="I197" s="15">
        <v>3.2</v>
      </c>
      <c r="J197" s="1">
        <v>3.4</v>
      </c>
      <c r="K197" s="1">
        <v>5.8</v>
      </c>
      <c r="L197" s="1">
        <v>47.5</v>
      </c>
      <c r="M197" s="15">
        <v>2.33</v>
      </c>
      <c r="N197" s="1">
        <v>3.4</v>
      </c>
      <c r="O197" s="1">
        <v>5.7</v>
      </c>
      <c r="P197" s="1">
        <v>48.4</v>
      </c>
      <c r="Q197" s="15">
        <v>2.08</v>
      </c>
    </row>
    <row r="198" spans="1:17" x14ac:dyDescent="0.25">
      <c r="A198" s="122">
        <v>196</v>
      </c>
      <c r="B198" s="1">
        <v>3.4</v>
      </c>
      <c r="C198" s="1">
        <v>6.1</v>
      </c>
      <c r="D198" s="1">
        <v>52.9</v>
      </c>
      <c r="E198" s="15">
        <v>2.81</v>
      </c>
      <c r="F198" s="1">
        <v>3.4</v>
      </c>
      <c r="G198" s="1">
        <v>6.3</v>
      </c>
      <c r="H198" s="1">
        <v>54.5</v>
      </c>
      <c r="I198" s="15">
        <v>2.64</v>
      </c>
      <c r="J198" s="1">
        <v>3.4</v>
      </c>
      <c r="K198" s="1">
        <v>6.3</v>
      </c>
      <c r="L198" s="1">
        <v>47.3</v>
      </c>
      <c r="M198" s="15">
        <v>2.33</v>
      </c>
      <c r="N198" s="1">
        <v>3.4</v>
      </c>
      <c r="O198" s="1">
        <v>6.2</v>
      </c>
      <c r="P198" s="1">
        <v>48.4</v>
      </c>
      <c r="Q198" s="15">
        <v>1.87</v>
      </c>
    </row>
    <row r="199" spans="1:17" x14ac:dyDescent="0.25">
      <c r="A199" s="122">
        <v>197</v>
      </c>
      <c r="B199" s="1">
        <v>3.4</v>
      </c>
      <c r="C199" s="1">
        <v>5.8</v>
      </c>
      <c r="D199" s="1">
        <v>53.1</v>
      </c>
      <c r="E199" s="15">
        <v>2.81</v>
      </c>
      <c r="F199" s="1">
        <v>3.4</v>
      </c>
      <c r="G199" s="1">
        <v>6.2</v>
      </c>
      <c r="H199" s="1">
        <v>54.9</v>
      </c>
      <c r="I199" s="15">
        <v>2.67</v>
      </c>
      <c r="J199" s="1">
        <v>3.4</v>
      </c>
      <c r="K199" s="1">
        <v>6.2</v>
      </c>
      <c r="L199" s="1">
        <v>47.4</v>
      </c>
      <c r="M199" s="15">
        <v>2.42</v>
      </c>
      <c r="N199" s="1">
        <v>3.4</v>
      </c>
      <c r="O199" s="1">
        <v>6.2</v>
      </c>
      <c r="P199" s="1">
        <v>48.5</v>
      </c>
      <c r="Q199" s="15">
        <v>2.1</v>
      </c>
    </row>
    <row r="200" spans="1:17" x14ac:dyDescent="0.25">
      <c r="A200" s="122">
        <v>198</v>
      </c>
      <c r="B200" s="1">
        <v>3.4</v>
      </c>
      <c r="C200" s="1">
        <v>6.3</v>
      </c>
      <c r="D200" s="1">
        <v>53.4</v>
      </c>
      <c r="E200" s="15">
        <v>2.81</v>
      </c>
      <c r="F200" s="1">
        <v>3.4</v>
      </c>
      <c r="G200" s="1">
        <v>6.1</v>
      </c>
      <c r="H200" s="1">
        <v>55</v>
      </c>
      <c r="I200" s="15">
        <v>2.69</v>
      </c>
      <c r="J200" s="1">
        <v>3.4</v>
      </c>
      <c r="K200" s="1">
        <v>6</v>
      </c>
      <c r="L200" s="1">
        <v>47.7</v>
      </c>
      <c r="M200" s="15">
        <v>2.35</v>
      </c>
      <c r="N200" s="1">
        <v>3.4</v>
      </c>
      <c r="O200" s="1">
        <v>6</v>
      </c>
      <c r="P200" s="1">
        <v>48.6</v>
      </c>
      <c r="Q200" s="15">
        <v>2.25</v>
      </c>
    </row>
    <row r="201" spans="1:17" x14ac:dyDescent="0.25">
      <c r="A201" s="122">
        <v>199</v>
      </c>
      <c r="B201" s="1">
        <v>3.4</v>
      </c>
      <c r="C201" s="1">
        <v>6.2</v>
      </c>
      <c r="D201" s="1">
        <v>53.5</v>
      </c>
      <c r="E201" s="15">
        <v>2.78</v>
      </c>
      <c r="F201" s="1">
        <v>3.4</v>
      </c>
      <c r="G201" s="1">
        <v>5.8</v>
      </c>
      <c r="H201" s="1">
        <v>54.9</v>
      </c>
      <c r="I201" s="15">
        <v>2.84</v>
      </c>
      <c r="J201" s="1">
        <v>3.4</v>
      </c>
      <c r="K201" s="1">
        <v>5.7</v>
      </c>
      <c r="L201" s="1">
        <v>47.7</v>
      </c>
      <c r="M201" s="15">
        <v>3.15</v>
      </c>
      <c r="N201" s="1">
        <v>3.4</v>
      </c>
      <c r="O201" s="1">
        <v>5.8</v>
      </c>
      <c r="P201" s="1">
        <v>48.8</v>
      </c>
      <c r="Q201" s="15">
        <v>2.78</v>
      </c>
    </row>
    <row r="202" spans="1:17" x14ac:dyDescent="0.25">
      <c r="A202" s="122">
        <v>200</v>
      </c>
      <c r="B202" s="1">
        <v>3.4</v>
      </c>
      <c r="C202" s="1">
        <v>6.1</v>
      </c>
      <c r="D202" s="1">
        <v>53.7</v>
      </c>
      <c r="E202" s="15">
        <v>2.79</v>
      </c>
      <c r="F202" s="1">
        <v>3.4</v>
      </c>
      <c r="G202" s="1">
        <v>6.3</v>
      </c>
      <c r="H202" s="1">
        <v>54.8</v>
      </c>
      <c r="I202" s="15">
        <v>2.8</v>
      </c>
      <c r="J202" s="1">
        <v>3.4</v>
      </c>
      <c r="K202" s="1">
        <v>6.2</v>
      </c>
      <c r="L202" s="1">
        <v>49.5</v>
      </c>
      <c r="M202" s="15">
        <v>3.6</v>
      </c>
      <c r="N202" s="1">
        <v>3.4</v>
      </c>
      <c r="O202" s="1">
        <v>6.2</v>
      </c>
      <c r="P202" s="1">
        <v>48.8</v>
      </c>
      <c r="Q202" s="15">
        <v>3.2</v>
      </c>
    </row>
    <row r="203" spans="1:17" x14ac:dyDescent="0.25">
      <c r="A203" s="122">
        <v>201</v>
      </c>
      <c r="B203" s="1">
        <v>3.4</v>
      </c>
      <c r="C203" s="1">
        <v>5.8</v>
      </c>
      <c r="D203" s="1">
        <v>53.8</v>
      </c>
      <c r="E203" s="15">
        <v>2.83</v>
      </c>
      <c r="F203" s="1">
        <v>3.4</v>
      </c>
      <c r="G203" s="1">
        <v>6.2</v>
      </c>
      <c r="H203" s="1">
        <v>54.6</v>
      </c>
      <c r="I203" s="15">
        <v>2.83</v>
      </c>
      <c r="J203" s="1">
        <v>3.4</v>
      </c>
      <c r="K203" s="1">
        <v>6.1</v>
      </c>
      <c r="L203" s="1">
        <v>48.9</v>
      </c>
      <c r="M203" s="15">
        <v>3.49</v>
      </c>
      <c r="N203" s="1">
        <v>3.4</v>
      </c>
      <c r="O203" s="1">
        <v>6.2</v>
      </c>
      <c r="P203" s="1">
        <v>48.8</v>
      </c>
      <c r="Q203" s="15">
        <v>3.67</v>
      </c>
    </row>
    <row r="204" spans="1:17" x14ac:dyDescent="0.25">
      <c r="A204" s="122">
        <v>202</v>
      </c>
      <c r="B204" s="1">
        <v>3.4</v>
      </c>
      <c r="C204" s="1">
        <v>6.3</v>
      </c>
      <c r="D204" s="1">
        <v>54</v>
      </c>
      <c r="E204" s="15">
        <v>2.84</v>
      </c>
      <c r="F204" s="1">
        <v>3.4</v>
      </c>
      <c r="G204" s="1">
        <v>6.1</v>
      </c>
      <c r="H204" s="1">
        <v>54.4</v>
      </c>
      <c r="I204" s="15">
        <v>2.79</v>
      </c>
      <c r="J204" s="1">
        <v>3.4</v>
      </c>
      <c r="K204" s="1">
        <v>5.9</v>
      </c>
      <c r="L204" s="1">
        <v>48.4</v>
      </c>
      <c r="M204" s="15">
        <v>3.4</v>
      </c>
      <c r="N204" s="1">
        <v>3.4</v>
      </c>
      <c r="O204" s="1">
        <v>6.1</v>
      </c>
      <c r="P204" s="1">
        <v>48.6</v>
      </c>
      <c r="Q204" s="15">
        <v>3.19</v>
      </c>
    </row>
    <row r="205" spans="1:17" x14ac:dyDescent="0.25">
      <c r="A205" s="122">
        <v>203</v>
      </c>
      <c r="B205" s="1">
        <v>3.4</v>
      </c>
      <c r="C205" s="1">
        <v>6.2</v>
      </c>
      <c r="D205" s="1">
        <v>54.1</v>
      </c>
      <c r="E205" s="15">
        <v>2.87</v>
      </c>
      <c r="F205" s="1">
        <v>3.4</v>
      </c>
      <c r="G205" s="1">
        <v>5.8</v>
      </c>
      <c r="H205" s="1">
        <v>54.3</v>
      </c>
      <c r="I205" s="15">
        <v>2.81</v>
      </c>
      <c r="J205" s="1">
        <v>3.4</v>
      </c>
      <c r="K205" s="1">
        <v>6.2</v>
      </c>
      <c r="L205" s="1">
        <v>48.3</v>
      </c>
      <c r="M205" s="15">
        <v>3.52</v>
      </c>
      <c r="N205" s="1">
        <v>3.4</v>
      </c>
      <c r="O205" s="1">
        <v>5.8</v>
      </c>
      <c r="P205" s="1">
        <v>48.6</v>
      </c>
      <c r="Q205" s="15">
        <v>2.11</v>
      </c>
    </row>
    <row r="206" spans="1:17" x14ac:dyDescent="0.25">
      <c r="A206" s="122">
        <v>204</v>
      </c>
      <c r="B206" s="1">
        <v>3.4</v>
      </c>
      <c r="C206" s="1">
        <v>6.1</v>
      </c>
      <c r="D206" s="1">
        <v>54.3</v>
      </c>
      <c r="E206" s="15">
        <v>2.9</v>
      </c>
      <c r="F206" s="1">
        <v>3.4</v>
      </c>
      <c r="G206" s="1">
        <v>6.3</v>
      </c>
      <c r="H206" s="1">
        <v>54.3</v>
      </c>
      <c r="I206" s="15">
        <v>2.78</v>
      </c>
      <c r="J206" s="1">
        <v>3.4</v>
      </c>
      <c r="K206" s="1">
        <v>6.2</v>
      </c>
      <c r="L206" s="1">
        <v>48.2</v>
      </c>
      <c r="M206" s="15">
        <v>3.35</v>
      </c>
      <c r="N206" s="1">
        <v>3.4</v>
      </c>
      <c r="O206" s="1">
        <v>6.3</v>
      </c>
      <c r="P206" s="1">
        <v>48.8</v>
      </c>
      <c r="Q206" s="15">
        <v>2.11</v>
      </c>
    </row>
    <row r="207" spans="1:17" x14ac:dyDescent="0.25">
      <c r="A207" s="122">
        <v>205</v>
      </c>
      <c r="B207" s="1">
        <v>3.4</v>
      </c>
      <c r="C207" s="1">
        <v>5.8</v>
      </c>
      <c r="D207" s="1">
        <v>54.4</v>
      </c>
      <c r="E207" s="15">
        <v>2.89</v>
      </c>
      <c r="F207" s="1">
        <v>3.4</v>
      </c>
      <c r="G207" s="1">
        <v>6.1</v>
      </c>
      <c r="H207" s="1">
        <v>54</v>
      </c>
      <c r="I207" s="15">
        <v>2.75</v>
      </c>
      <c r="J207" s="1">
        <v>3.4</v>
      </c>
      <c r="K207" s="1">
        <v>6.1</v>
      </c>
      <c r="L207" s="1">
        <v>48.2</v>
      </c>
      <c r="M207" s="15">
        <v>3.43</v>
      </c>
      <c r="N207" s="1">
        <v>3.4</v>
      </c>
      <c r="O207" s="1">
        <v>6.2</v>
      </c>
      <c r="P207" s="1">
        <v>49</v>
      </c>
      <c r="Q207" s="15">
        <v>2.16</v>
      </c>
    </row>
    <row r="208" spans="1:17" x14ac:dyDescent="0.25">
      <c r="A208" s="122">
        <v>206</v>
      </c>
      <c r="B208" s="1">
        <v>3.4</v>
      </c>
      <c r="C208" s="1">
        <v>6.3</v>
      </c>
      <c r="D208" s="1">
        <v>54.5</v>
      </c>
      <c r="E208" s="15">
        <v>2.84</v>
      </c>
      <c r="F208" s="1">
        <v>3.4</v>
      </c>
      <c r="G208" s="1">
        <v>6</v>
      </c>
      <c r="H208" s="1">
        <v>53.7</v>
      </c>
      <c r="I208" s="15">
        <v>2.8</v>
      </c>
      <c r="J208" s="1">
        <v>3.4</v>
      </c>
      <c r="K208" s="1">
        <v>5.8</v>
      </c>
      <c r="L208" s="1">
        <v>48.2</v>
      </c>
      <c r="M208" s="15">
        <v>3.38</v>
      </c>
      <c r="N208" s="1">
        <v>3.4</v>
      </c>
      <c r="O208" s="1">
        <v>5.9</v>
      </c>
      <c r="P208" s="1">
        <v>49.3</v>
      </c>
      <c r="Q208" s="15">
        <v>2.12</v>
      </c>
    </row>
    <row r="209" spans="1:17" x14ac:dyDescent="0.25">
      <c r="A209" s="122">
        <v>207</v>
      </c>
      <c r="B209" s="1">
        <v>3.4</v>
      </c>
      <c r="C209" s="1">
        <v>6.2</v>
      </c>
      <c r="D209" s="1">
        <v>54.7</v>
      </c>
      <c r="E209" s="15">
        <v>2.79</v>
      </c>
      <c r="F209" s="1">
        <v>3.4</v>
      </c>
      <c r="G209" s="1">
        <v>5.8</v>
      </c>
      <c r="H209" s="1">
        <v>53.6</v>
      </c>
      <c r="I209" s="15">
        <v>2.81</v>
      </c>
      <c r="J209" s="1">
        <v>3.4</v>
      </c>
      <c r="K209" s="1">
        <v>6.3</v>
      </c>
      <c r="L209" s="1">
        <v>48.2</v>
      </c>
      <c r="M209" s="15">
        <v>3.49</v>
      </c>
      <c r="N209" s="1">
        <v>3.4</v>
      </c>
      <c r="O209" s="1">
        <v>6.3</v>
      </c>
      <c r="P209" s="1">
        <v>48.8</v>
      </c>
      <c r="Q209" s="15">
        <v>2.27</v>
      </c>
    </row>
    <row r="210" spans="1:17" x14ac:dyDescent="0.25">
      <c r="A210" s="122">
        <v>208</v>
      </c>
      <c r="B210" s="1">
        <v>3.4</v>
      </c>
      <c r="C210" s="1">
        <v>6.1</v>
      </c>
      <c r="D210" s="1">
        <v>54.9</v>
      </c>
      <c r="E210" s="15">
        <v>2.81</v>
      </c>
      <c r="F210" s="1">
        <v>3.4</v>
      </c>
      <c r="G210" s="1">
        <v>6.2</v>
      </c>
      <c r="H210" s="1">
        <v>53.5</v>
      </c>
      <c r="I210" s="15">
        <v>2.89</v>
      </c>
      <c r="J210" s="1">
        <v>3.4</v>
      </c>
      <c r="K210" s="1">
        <v>6.2</v>
      </c>
      <c r="L210" s="1">
        <v>48.3</v>
      </c>
      <c r="M210" s="15">
        <v>3.51</v>
      </c>
      <c r="N210" s="1">
        <v>3.4</v>
      </c>
      <c r="O210" s="1">
        <v>6.2</v>
      </c>
      <c r="P210" s="1">
        <v>48.7</v>
      </c>
      <c r="Q210" s="15">
        <v>2.19</v>
      </c>
    </row>
    <row r="211" spans="1:17" x14ac:dyDescent="0.25">
      <c r="A211" s="122">
        <v>209</v>
      </c>
      <c r="B211" s="1">
        <v>3.4</v>
      </c>
      <c r="C211" s="1">
        <v>5.9</v>
      </c>
      <c r="D211" s="1">
        <v>55.1</v>
      </c>
      <c r="E211" s="15">
        <v>2.84</v>
      </c>
      <c r="F211" s="1">
        <v>3.4</v>
      </c>
      <c r="G211" s="1">
        <v>6.2</v>
      </c>
      <c r="H211" s="1">
        <v>53.6</v>
      </c>
      <c r="I211" s="15">
        <v>2.84</v>
      </c>
      <c r="J211" s="1">
        <v>3.4</v>
      </c>
      <c r="K211" s="1">
        <v>5.9</v>
      </c>
      <c r="L211" s="1">
        <v>48.2</v>
      </c>
      <c r="M211" s="15">
        <v>3.57</v>
      </c>
      <c r="N211" s="1">
        <v>3.4</v>
      </c>
      <c r="O211" s="1">
        <v>6.1</v>
      </c>
      <c r="P211" s="1">
        <v>48.7</v>
      </c>
      <c r="Q211" s="15">
        <v>2.61</v>
      </c>
    </row>
    <row r="212" spans="1:17" x14ac:dyDescent="0.25">
      <c r="A212" s="122">
        <v>210</v>
      </c>
      <c r="B212" s="1">
        <v>3.4</v>
      </c>
      <c r="C212" s="1">
        <v>6.2</v>
      </c>
      <c r="D212" s="1">
        <v>55.4</v>
      </c>
      <c r="E212" s="15">
        <v>2.84</v>
      </c>
      <c r="F212" s="1">
        <v>3.4</v>
      </c>
      <c r="G212" s="1">
        <v>6</v>
      </c>
      <c r="H212" s="1">
        <v>53.7</v>
      </c>
      <c r="I212" s="15">
        <v>2.79</v>
      </c>
      <c r="J212" s="1">
        <v>3.4</v>
      </c>
      <c r="K212" s="1">
        <v>5.7</v>
      </c>
      <c r="L212" s="1">
        <v>48.2</v>
      </c>
      <c r="M212" s="15">
        <v>3.91</v>
      </c>
      <c r="N212" s="1">
        <v>3.4</v>
      </c>
      <c r="O212" s="1">
        <v>5.9</v>
      </c>
      <c r="P212" s="1">
        <v>48.8</v>
      </c>
      <c r="Q212" s="15">
        <v>2.72</v>
      </c>
    </row>
    <row r="213" spans="1:17" x14ac:dyDescent="0.25">
      <c r="A213" s="122">
        <v>211</v>
      </c>
      <c r="B213" s="1">
        <v>3.4</v>
      </c>
      <c r="C213" s="1">
        <v>5.6</v>
      </c>
      <c r="D213" s="1">
        <v>54.5</v>
      </c>
      <c r="E213" s="15">
        <v>2.58</v>
      </c>
      <c r="F213" s="1">
        <v>3.4</v>
      </c>
      <c r="G213" s="1">
        <v>5.7</v>
      </c>
      <c r="H213" s="1">
        <v>53.9</v>
      </c>
      <c r="I213" s="15">
        <v>2.81</v>
      </c>
      <c r="J213" s="1">
        <v>3.4</v>
      </c>
      <c r="K213" s="1">
        <v>6.3</v>
      </c>
      <c r="L213" s="1">
        <v>48.1</v>
      </c>
      <c r="M213" s="15">
        <v>3.57</v>
      </c>
      <c r="N213" s="1">
        <v>3.4</v>
      </c>
      <c r="O213" s="1">
        <v>6.3</v>
      </c>
      <c r="P213" s="1">
        <v>48.8</v>
      </c>
      <c r="Q213" s="15">
        <v>2.78</v>
      </c>
    </row>
    <row r="214" spans="1:17" x14ac:dyDescent="0.25">
      <c r="A214" s="122">
        <v>212</v>
      </c>
      <c r="B214" s="1">
        <v>3.4</v>
      </c>
      <c r="C214" s="1">
        <v>6</v>
      </c>
      <c r="D214" s="1">
        <v>54.4</v>
      </c>
      <c r="E214" s="15">
        <v>2.67</v>
      </c>
      <c r="F214" s="1">
        <v>3.4</v>
      </c>
      <c r="G214" s="1">
        <v>6.2</v>
      </c>
      <c r="H214" s="1">
        <v>54.1</v>
      </c>
      <c r="I214" s="15">
        <v>2.75</v>
      </c>
      <c r="J214" s="1">
        <v>3.4</v>
      </c>
      <c r="K214" s="1">
        <v>6.2</v>
      </c>
      <c r="L214" s="1">
        <v>48.1</v>
      </c>
      <c r="M214" s="15">
        <v>3.69</v>
      </c>
      <c r="N214" s="1">
        <v>3.4</v>
      </c>
      <c r="O214" s="1">
        <v>6.2</v>
      </c>
      <c r="P214" s="1">
        <v>48.8</v>
      </c>
      <c r="Q214" s="15">
        <v>2.33</v>
      </c>
    </row>
    <row r="215" spans="1:17" x14ac:dyDescent="0.25">
      <c r="A215" s="122">
        <v>213</v>
      </c>
      <c r="B215" s="1">
        <v>3.4</v>
      </c>
      <c r="C215" s="1">
        <v>5.8</v>
      </c>
      <c r="D215" s="1">
        <v>53.2</v>
      </c>
      <c r="E215" s="15">
        <v>2.79</v>
      </c>
      <c r="F215" s="1">
        <v>3.4</v>
      </c>
      <c r="G215" s="1">
        <v>6.2</v>
      </c>
      <c r="H215" s="1">
        <v>54.3</v>
      </c>
      <c r="I215" s="15">
        <v>2.79</v>
      </c>
      <c r="J215" s="1">
        <v>3.4</v>
      </c>
      <c r="K215" s="1">
        <v>5.9</v>
      </c>
      <c r="L215" s="1">
        <v>48.2</v>
      </c>
      <c r="M215" s="15">
        <v>3.67</v>
      </c>
      <c r="N215" s="1">
        <v>3.4</v>
      </c>
      <c r="O215" s="1">
        <v>6.1</v>
      </c>
      <c r="P215" s="1">
        <v>48.7</v>
      </c>
      <c r="Q215" s="15">
        <v>2.27</v>
      </c>
    </row>
    <row r="216" spans="1:17" x14ac:dyDescent="0.25">
      <c r="A216" s="122">
        <v>214</v>
      </c>
      <c r="B216" s="1">
        <v>3.4</v>
      </c>
      <c r="C216" s="1">
        <v>6.2</v>
      </c>
      <c r="D216" s="1">
        <v>53.6</v>
      </c>
      <c r="E216" s="15">
        <v>2.78</v>
      </c>
      <c r="F216" s="1">
        <v>3.4</v>
      </c>
      <c r="G216" s="1">
        <v>6</v>
      </c>
      <c r="H216" s="1">
        <v>54.3</v>
      </c>
      <c r="I216" s="15">
        <v>2.78</v>
      </c>
      <c r="J216" s="1">
        <v>3.4</v>
      </c>
      <c r="K216" s="1">
        <v>6.1</v>
      </c>
      <c r="L216" s="1">
        <v>47.7</v>
      </c>
      <c r="M216" s="15">
        <v>3.14</v>
      </c>
      <c r="N216" s="1">
        <v>3.4</v>
      </c>
      <c r="O216" s="1">
        <v>5.9</v>
      </c>
      <c r="P216" s="1">
        <v>48.6</v>
      </c>
      <c r="Q216" s="15">
        <v>2.2999999999999998</v>
      </c>
    </row>
    <row r="217" spans="1:17" x14ac:dyDescent="0.25">
      <c r="A217" s="122">
        <v>215</v>
      </c>
      <c r="B217" s="1">
        <v>3.4</v>
      </c>
      <c r="C217" s="1">
        <v>6.2</v>
      </c>
      <c r="D217" s="1">
        <v>53.6</v>
      </c>
      <c r="E217" s="15">
        <v>2.86</v>
      </c>
      <c r="F217" s="1">
        <v>3.4</v>
      </c>
      <c r="G217" s="1">
        <v>5.8</v>
      </c>
      <c r="H217" s="1">
        <v>54.5</v>
      </c>
      <c r="I217" s="15">
        <v>2.78</v>
      </c>
      <c r="J217" s="1">
        <v>3.4</v>
      </c>
      <c r="K217" s="1">
        <v>6.2</v>
      </c>
      <c r="L217" s="1">
        <v>48.5</v>
      </c>
      <c r="M217" s="15">
        <v>3.12</v>
      </c>
      <c r="N217" s="1">
        <v>3.4</v>
      </c>
      <c r="O217" s="1">
        <v>6.2</v>
      </c>
      <c r="P217" s="1">
        <v>48.6</v>
      </c>
      <c r="Q217" s="15">
        <v>2.27</v>
      </c>
    </row>
    <row r="218" spans="1:17" x14ac:dyDescent="0.25">
      <c r="A218" s="122">
        <v>216</v>
      </c>
      <c r="B218" s="1">
        <v>3.4</v>
      </c>
      <c r="C218" s="1">
        <v>6</v>
      </c>
      <c r="D218" s="1">
        <v>53.6</v>
      </c>
      <c r="E218" s="15">
        <v>2.92</v>
      </c>
      <c r="F218" s="1">
        <v>3.4</v>
      </c>
      <c r="G218" s="1">
        <v>6.3</v>
      </c>
      <c r="H218" s="1">
        <v>54.6</v>
      </c>
      <c r="I218" s="15">
        <v>2.84</v>
      </c>
      <c r="J218" s="1">
        <v>3.4</v>
      </c>
      <c r="K218" s="1">
        <v>6.1</v>
      </c>
      <c r="L218" s="1">
        <v>50.1</v>
      </c>
      <c r="M218" s="15">
        <v>2.63</v>
      </c>
      <c r="N218" s="1">
        <v>3.4</v>
      </c>
      <c r="O218" s="1">
        <v>6.2</v>
      </c>
      <c r="P218" s="1">
        <v>48.6</v>
      </c>
      <c r="Q218" s="15">
        <v>2.3199999999999998</v>
      </c>
    </row>
    <row r="219" spans="1:17" x14ac:dyDescent="0.25">
      <c r="A219" s="122">
        <v>217</v>
      </c>
      <c r="B219" s="1">
        <v>3.4</v>
      </c>
      <c r="C219" s="1">
        <v>5.7</v>
      </c>
      <c r="D219" s="1">
        <v>53.8</v>
      </c>
      <c r="E219" s="15">
        <v>2.92</v>
      </c>
      <c r="F219" s="1">
        <v>3.4</v>
      </c>
      <c r="G219" s="1">
        <v>6.2</v>
      </c>
      <c r="H219" s="1">
        <v>54.7</v>
      </c>
      <c r="I219" s="15">
        <v>2.83</v>
      </c>
      <c r="J219" s="1">
        <v>3.4</v>
      </c>
      <c r="K219" s="1">
        <v>5.8</v>
      </c>
      <c r="L219" s="1">
        <v>50.6</v>
      </c>
      <c r="M219" s="15">
        <v>2.4</v>
      </c>
      <c r="N219" s="1">
        <v>3.4</v>
      </c>
      <c r="O219" s="1">
        <v>6.1</v>
      </c>
      <c r="P219" s="1">
        <v>48.5</v>
      </c>
      <c r="Q219" s="15">
        <v>2.2999999999999998</v>
      </c>
    </row>
    <row r="220" spans="1:17" x14ac:dyDescent="0.25">
      <c r="A220" s="122">
        <v>218</v>
      </c>
      <c r="B220" s="1">
        <v>3.4</v>
      </c>
      <c r="C220" s="1">
        <v>6.2</v>
      </c>
      <c r="D220" s="1">
        <v>53.8</v>
      </c>
      <c r="E220" s="15">
        <v>2.89</v>
      </c>
      <c r="F220" s="1">
        <v>3.4</v>
      </c>
      <c r="G220" s="1">
        <v>6</v>
      </c>
      <c r="H220" s="1">
        <v>54.8</v>
      </c>
      <c r="I220" s="15">
        <v>2.81</v>
      </c>
      <c r="J220" s="1">
        <v>3.4</v>
      </c>
      <c r="K220" s="1">
        <v>6.3</v>
      </c>
      <c r="L220" s="1">
        <v>50.8</v>
      </c>
      <c r="M220" s="15">
        <v>2.2799999999999998</v>
      </c>
      <c r="N220" s="1">
        <v>3.4</v>
      </c>
      <c r="O220" s="1">
        <v>5.9</v>
      </c>
      <c r="P220" s="1">
        <v>48.5</v>
      </c>
      <c r="Q220" s="15">
        <v>2.3199999999999998</v>
      </c>
    </row>
    <row r="221" spans="1:17" x14ac:dyDescent="0.25">
      <c r="A221" s="122">
        <v>219</v>
      </c>
      <c r="B221" s="1">
        <v>3.4</v>
      </c>
      <c r="C221" s="1">
        <v>6.2</v>
      </c>
      <c r="D221" s="1">
        <v>53.8</v>
      </c>
      <c r="E221" s="15">
        <v>2.96</v>
      </c>
      <c r="F221" s="1">
        <v>3.4</v>
      </c>
      <c r="G221" s="1">
        <v>5.8</v>
      </c>
      <c r="H221" s="1">
        <v>54.8</v>
      </c>
      <c r="I221" s="15">
        <v>2.84</v>
      </c>
      <c r="J221" s="1">
        <v>3.4</v>
      </c>
      <c r="K221" s="1">
        <v>6.2</v>
      </c>
      <c r="L221" s="1">
        <v>50.8</v>
      </c>
      <c r="M221" s="15">
        <v>2.1</v>
      </c>
      <c r="N221" s="1">
        <v>3.4</v>
      </c>
      <c r="O221" s="1">
        <v>6.1</v>
      </c>
      <c r="P221" s="1">
        <v>48.3</v>
      </c>
      <c r="Q221" s="15">
        <v>2.41</v>
      </c>
    </row>
    <row r="222" spans="1:17" x14ac:dyDescent="0.25">
      <c r="A222" s="122">
        <v>220</v>
      </c>
      <c r="B222" s="1">
        <v>3.4</v>
      </c>
      <c r="C222" s="1">
        <v>6</v>
      </c>
      <c r="D222" s="1">
        <v>53.7</v>
      </c>
      <c r="E222" s="15">
        <v>2.98</v>
      </c>
      <c r="F222" s="1">
        <v>3.4</v>
      </c>
      <c r="G222" s="1">
        <v>6.3</v>
      </c>
      <c r="H222" s="1">
        <v>54.9</v>
      </c>
      <c r="I222" s="15">
        <v>2.87</v>
      </c>
      <c r="J222" s="1">
        <v>3.4</v>
      </c>
      <c r="K222" s="1">
        <v>6</v>
      </c>
      <c r="L222" s="1">
        <v>50.9</v>
      </c>
      <c r="M222" s="15">
        <v>1.99</v>
      </c>
      <c r="N222" s="1">
        <v>3.4</v>
      </c>
      <c r="O222" s="1">
        <v>6.2</v>
      </c>
      <c r="P222" s="1">
        <v>48.4</v>
      </c>
      <c r="Q222" s="15">
        <v>2.39</v>
      </c>
    </row>
    <row r="223" spans="1:17" x14ac:dyDescent="0.25">
      <c r="A223" s="122">
        <v>221</v>
      </c>
      <c r="B223" s="1">
        <v>3.4</v>
      </c>
      <c r="C223" s="1">
        <v>5.7</v>
      </c>
      <c r="D223" s="1">
        <v>53.7</v>
      </c>
      <c r="E223" s="15">
        <v>2.92</v>
      </c>
      <c r="F223" s="1">
        <v>3.4</v>
      </c>
      <c r="G223" s="1">
        <v>6.2</v>
      </c>
      <c r="H223" s="1">
        <v>54.9</v>
      </c>
      <c r="I223" s="15">
        <v>2.8</v>
      </c>
      <c r="J223" s="1">
        <v>3.4</v>
      </c>
      <c r="K223" s="1">
        <v>5.7</v>
      </c>
      <c r="L223" s="1">
        <v>51</v>
      </c>
      <c r="M223" s="15">
        <v>2.2400000000000002</v>
      </c>
      <c r="N223" s="1">
        <v>3.4</v>
      </c>
      <c r="O223" s="1">
        <v>6.2</v>
      </c>
      <c r="P223" s="1">
        <v>48.2</v>
      </c>
      <c r="Q223" s="15">
        <v>2.38</v>
      </c>
    </row>
    <row r="224" spans="1:17" x14ac:dyDescent="0.25">
      <c r="A224" s="122">
        <v>222</v>
      </c>
      <c r="B224" s="1">
        <v>3.4</v>
      </c>
      <c r="C224" s="1">
        <v>6.2</v>
      </c>
      <c r="D224" s="1">
        <v>53.4</v>
      </c>
      <c r="E224" s="15">
        <v>2.9</v>
      </c>
      <c r="F224" s="1">
        <v>3.4</v>
      </c>
      <c r="G224" s="1">
        <v>6.1</v>
      </c>
      <c r="H224" s="1">
        <v>55</v>
      </c>
      <c r="I224" s="15">
        <v>2.78</v>
      </c>
      <c r="J224" s="1">
        <v>3.4</v>
      </c>
      <c r="K224" s="1">
        <v>6.2</v>
      </c>
      <c r="L224" s="1">
        <v>51</v>
      </c>
      <c r="M224" s="15">
        <v>1.96</v>
      </c>
      <c r="N224" s="1">
        <v>3.4</v>
      </c>
      <c r="O224" s="1">
        <v>6</v>
      </c>
      <c r="P224" s="1">
        <v>48.1</v>
      </c>
      <c r="Q224" s="15">
        <v>2.44</v>
      </c>
    </row>
    <row r="225" spans="1:17" x14ac:dyDescent="0.25">
      <c r="A225" s="122">
        <v>223</v>
      </c>
      <c r="B225" s="1">
        <v>3.4</v>
      </c>
      <c r="C225" s="1">
        <v>6.2</v>
      </c>
      <c r="D225" s="1">
        <v>53.3</v>
      </c>
      <c r="E225" s="15">
        <v>2.9</v>
      </c>
      <c r="F225" s="1">
        <v>3.4</v>
      </c>
      <c r="G225" s="1">
        <v>5.8</v>
      </c>
      <c r="H225" s="1">
        <v>55</v>
      </c>
      <c r="I225" s="15">
        <v>2.78</v>
      </c>
      <c r="J225" s="1">
        <v>3.4</v>
      </c>
      <c r="K225" s="1">
        <v>6.2</v>
      </c>
      <c r="L225" s="1">
        <v>51.2</v>
      </c>
      <c r="M225" s="15">
        <v>1.85</v>
      </c>
      <c r="N225" s="1">
        <v>3.4</v>
      </c>
      <c r="O225" s="1">
        <v>5.8</v>
      </c>
      <c r="P225" s="1">
        <v>48</v>
      </c>
      <c r="Q225" s="15">
        <v>2.38</v>
      </c>
    </row>
    <row r="226" spans="1:17" x14ac:dyDescent="0.25">
      <c r="A226" s="122">
        <v>224</v>
      </c>
      <c r="B226" s="1">
        <v>3.4</v>
      </c>
      <c r="C226" s="1">
        <v>6</v>
      </c>
      <c r="D226" s="1">
        <v>53.1</v>
      </c>
      <c r="E226" s="15">
        <v>2.92</v>
      </c>
      <c r="F226" s="1">
        <v>3.4</v>
      </c>
      <c r="G226" s="1">
        <v>6.3</v>
      </c>
      <c r="H226" s="1">
        <v>55</v>
      </c>
      <c r="I226" s="15">
        <v>2.86</v>
      </c>
      <c r="J226" s="1">
        <v>3.4</v>
      </c>
      <c r="K226" s="1">
        <v>5.9</v>
      </c>
      <c r="L226" s="1">
        <v>51.6</v>
      </c>
      <c r="M226" s="15">
        <v>2.1800000000000002</v>
      </c>
      <c r="N226" s="1">
        <v>3.4</v>
      </c>
      <c r="O226" s="1">
        <v>6.2</v>
      </c>
      <c r="P226" s="1">
        <v>50.4</v>
      </c>
      <c r="Q226" s="15">
        <v>3.35</v>
      </c>
    </row>
    <row r="227" spans="1:17" x14ac:dyDescent="0.25">
      <c r="A227" s="122">
        <v>225</v>
      </c>
      <c r="B227" s="1">
        <v>3.4</v>
      </c>
      <c r="C227" s="1">
        <v>5.7</v>
      </c>
      <c r="D227" s="1">
        <v>52.9</v>
      </c>
      <c r="E227" s="15">
        <v>2.93</v>
      </c>
      <c r="F227" s="1">
        <v>3.4</v>
      </c>
      <c r="G227" s="1">
        <v>6.2</v>
      </c>
      <c r="H227" s="1">
        <v>55</v>
      </c>
      <c r="I227" s="15">
        <v>2.78</v>
      </c>
      <c r="J227" s="1">
        <v>3.4</v>
      </c>
      <c r="K227" s="1">
        <v>6.2</v>
      </c>
      <c r="L227" s="1">
        <v>51.8</v>
      </c>
      <c r="M227" s="15">
        <v>3.09</v>
      </c>
      <c r="N227" s="1">
        <v>3.4</v>
      </c>
      <c r="O227" s="1">
        <v>6.2</v>
      </c>
      <c r="P227" s="1">
        <v>50.9</v>
      </c>
      <c r="Q227" s="15">
        <v>2.58</v>
      </c>
    </row>
    <row r="228" spans="1:17" x14ac:dyDescent="0.25">
      <c r="A228" s="122">
        <v>226</v>
      </c>
      <c r="B228" s="1">
        <v>3.4</v>
      </c>
      <c r="C228" s="1">
        <v>6.3</v>
      </c>
      <c r="D228" s="1">
        <v>52.8</v>
      </c>
      <c r="E228" s="15">
        <v>2.95</v>
      </c>
      <c r="F228" s="1">
        <v>3.4</v>
      </c>
      <c r="G228" s="1">
        <v>6.1</v>
      </c>
      <c r="H228" s="1">
        <v>55.2</v>
      </c>
      <c r="I228" s="15">
        <v>2.79</v>
      </c>
      <c r="J228" s="48">
        <v>3.4</v>
      </c>
      <c r="K228" s="9">
        <v>6.2</v>
      </c>
      <c r="L228" s="9">
        <v>51.8</v>
      </c>
      <c r="M228" s="22">
        <v>3.31</v>
      </c>
      <c r="N228" s="1">
        <v>3.4</v>
      </c>
      <c r="O228" s="1">
        <v>6</v>
      </c>
      <c r="P228" s="1">
        <v>50.7</v>
      </c>
      <c r="Q228" s="15">
        <v>2.59</v>
      </c>
    </row>
    <row r="229" spans="1:17" x14ac:dyDescent="0.25">
      <c r="A229" s="122">
        <v>227</v>
      </c>
      <c r="B229" s="1">
        <v>3.4</v>
      </c>
      <c r="C229" s="1">
        <v>6.2</v>
      </c>
      <c r="D229" s="1">
        <v>52.7</v>
      </c>
      <c r="E229" s="15">
        <v>2.86</v>
      </c>
      <c r="F229" s="1">
        <v>3.4</v>
      </c>
      <c r="G229" s="1">
        <v>5.9</v>
      </c>
      <c r="H229" s="1">
        <v>54.3</v>
      </c>
      <c r="I229" s="15">
        <v>2.69</v>
      </c>
      <c r="J229" s="1">
        <v>3.4</v>
      </c>
      <c r="K229" s="1">
        <v>6.1</v>
      </c>
      <c r="L229" s="1">
        <v>51.7</v>
      </c>
      <c r="M229" s="15">
        <v>3.54</v>
      </c>
      <c r="N229" s="1">
        <v>3.4</v>
      </c>
      <c r="O229" s="1">
        <v>5.7</v>
      </c>
      <c r="P229" s="1">
        <v>51.6</v>
      </c>
      <c r="Q229" s="15">
        <v>2.67</v>
      </c>
    </row>
    <row r="230" spans="1:17" x14ac:dyDescent="0.25">
      <c r="A230" s="122">
        <v>228</v>
      </c>
      <c r="B230" s="1">
        <v>3.4</v>
      </c>
      <c r="C230" s="1">
        <v>6</v>
      </c>
      <c r="D230" s="1">
        <v>52.6</v>
      </c>
      <c r="E230" s="15">
        <v>2.81</v>
      </c>
      <c r="F230" s="1">
        <v>3.4</v>
      </c>
      <c r="G230" s="1">
        <v>6.2</v>
      </c>
      <c r="H230" s="1">
        <v>55.1</v>
      </c>
      <c r="I230" s="15">
        <v>2.69</v>
      </c>
      <c r="J230" s="1">
        <v>3.4</v>
      </c>
      <c r="K230" s="1">
        <v>5.8</v>
      </c>
      <c r="L230" s="1">
        <v>51.5</v>
      </c>
      <c r="M230" s="15">
        <v>3.04</v>
      </c>
      <c r="N230" s="1">
        <v>3.4</v>
      </c>
      <c r="O230" s="1">
        <v>6.2</v>
      </c>
      <c r="P230" s="1">
        <v>50.9</v>
      </c>
      <c r="Q230" s="15">
        <v>2.4900000000000002</v>
      </c>
    </row>
    <row r="231" spans="1:17" x14ac:dyDescent="0.25">
      <c r="A231" s="122">
        <v>229</v>
      </c>
      <c r="B231" s="1">
        <v>3.4</v>
      </c>
      <c r="C231" s="1">
        <v>5.8</v>
      </c>
      <c r="D231" s="1">
        <v>52.4</v>
      </c>
      <c r="E231" s="15">
        <v>2.84</v>
      </c>
      <c r="F231" s="1">
        <v>3.4</v>
      </c>
      <c r="G231" s="1">
        <v>6.2</v>
      </c>
      <c r="H231" s="1">
        <v>54.1</v>
      </c>
      <c r="I231" s="15">
        <v>2.56</v>
      </c>
      <c r="J231" s="1">
        <v>3.4</v>
      </c>
      <c r="K231" s="1">
        <v>6.3</v>
      </c>
      <c r="L231" s="1">
        <v>51.4</v>
      </c>
      <c r="M231" s="15">
        <v>2.27</v>
      </c>
      <c r="N231" s="102">
        <v>3.4</v>
      </c>
      <c r="O231" s="102">
        <v>6.2</v>
      </c>
      <c r="P231" s="102">
        <v>51.5</v>
      </c>
      <c r="Q231" s="30">
        <v>2.61</v>
      </c>
    </row>
    <row r="232" spans="1:17" x14ac:dyDescent="0.25">
      <c r="A232" s="122">
        <v>230</v>
      </c>
      <c r="B232" s="1">
        <v>3.4</v>
      </c>
      <c r="C232" s="1">
        <v>6.3</v>
      </c>
      <c r="D232" s="1">
        <v>52.2</v>
      </c>
      <c r="E232" s="15">
        <v>2.78</v>
      </c>
      <c r="F232" s="1">
        <v>3.4</v>
      </c>
      <c r="G232" s="1">
        <v>5.9</v>
      </c>
      <c r="H232" s="1">
        <v>55.1</v>
      </c>
      <c r="I232" s="15">
        <v>2.61</v>
      </c>
      <c r="J232" s="102">
        <v>3.4</v>
      </c>
      <c r="K232" s="102">
        <v>6.2</v>
      </c>
      <c r="L232" s="102">
        <v>51.2</v>
      </c>
      <c r="M232" s="30">
        <v>2.19</v>
      </c>
      <c r="N232" s="1">
        <v>3.4</v>
      </c>
      <c r="O232" s="1">
        <v>6.1</v>
      </c>
      <c r="P232" s="1">
        <v>51.6</v>
      </c>
      <c r="Q232" s="15">
        <v>2.73</v>
      </c>
    </row>
    <row r="233" spans="1:17" x14ac:dyDescent="0.25">
      <c r="A233" s="122">
        <v>231</v>
      </c>
      <c r="B233" s="1">
        <v>3.4</v>
      </c>
      <c r="C233" s="1">
        <v>6.2</v>
      </c>
      <c r="D233" s="1">
        <v>52</v>
      </c>
      <c r="E233" s="15">
        <v>2.73</v>
      </c>
      <c r="F233" s="1">
        <v>3.4</v>
      </c>
      <c r="G233" s="1">
        <v>5.9</v>
      </c>
      <c r="H233" s="1">
        <v>54.4</v>
      </c>
      <c r="I233" s="15">
        <v>2.58</v>
      </c>
      <c r="J233" s="1">
        <v>3.4</v>
      </c>
      <c r="K233" s="1">
        <v>6</v>
      </c>
      <c r="L233" s="1">
        <v>51.1</v>
      </c>
      <c r="M233" s="15">
        <v>2.38</v>
      </c>
      <c r="N233" s="1">
        <v>3.4</v>
      </c>
      <c r="O233" s="1">
        <v>5.7</v>
      </c>
      <c r="P233" s="1">
        <v>51.5</v>
      </c>
      <c r="Q233" s="15">
        <v>2.75</v>
      </c>
    </row>
    <row r="234" spans="1:17" x14ac:dyDescent="0.25">
      <c r="A234" s="122">
        <v>232</v>
      </c>
      <c r="B234" s="1">
        <v>3.4</v>
      </c>
      <c r="C234" s="1">
        <v>6.1</v>
      </c>
      <c r="D234" s="1">
        <v>51.9</v>
      </c>
      <c r="E234" s="15">
        <v>2.72</v>
      </c>
      <c r="F234" s="1">
        <v>3.4</v>
      </c>
      <c r="G234" s="1">
        <v>6.2</v>
      </c>
      <c r="H234" s="1">
        <v>54.5</v>
      </c>
      <c r="I234" s="15">
        <v>2.9</v>
      </c>
      <c r="N234" s="1">
        <v>3.4</v>
      </c>
      <c r="O234" s="1">
        <v>6.3</v>
      </c>
      <c r="P234" s="1">
        <v>51.2</v>
      </c>
      <c r="Q234" s="15">
        <v>2.66</v>
      </c>
    </row>
    <row r="235" spans="1:17" x14ac:dyDescent="0.25">
      <c r="A235" s="122">
        <v>233</v>
      </c>
      <c r="B235" s="1">
        <v>3.4</v>
      </c>
      <c r="C235" s="1">
        <v>5.8</v>
      </c>
      <c r="D235" s="1">
        <v>51.8</v>
      </c>
      <c r="E235" s="15">
        <v>2.78</v>
      </c>
      <c r="F235" s="1">
        <v>3.4</v>
      </c>
      <c r="G235" s="1">
        <v>6.2</v>
      </c>
      <c r="H235" s="1">
        <v>54.6</v>
      </c>
      <c r="I235" s="15">
        <v>2.75</v>
      </c>
      <c r="N235" s="1">
        <v>3.4</v>
      </c>
      <c r="O235" s="1">
        <v>6.2</v>
      </c>
      <c r="P235" s="1">
        <v>50.8</v>
      </c>
      <c r="Q235" s="15">
        <v>2.7</v>
      </c>
    </row>
    <row r="236" spans="1:17" x14ac:dyDescent="0.25">
      <c r="A236" s="122">
        <v>234</v>
      </c>
      <c r="B236" s="1">
        <v>3.4</v>
      </c>
      <c r="C236" s="1">
        <v>6.3</v>
      </c>
      <c r="D236" s="1">
        <v>51.1</v>
      </c>
      <c r="E236" s="15">
        <v>2.78</v>
      </c>
      <c r="F236" s="1">
        <v>3.4</v>
      </c>
      <c r="G236" s="1">
        <v>6</v>
      </c>
      <c r="H236" s="1">
        <v>55.1</v>
      </c>
      <c r="I236" s="15">
        <v>2.83</v>
      </c>
      <c r="N236" s="1">
        <v>3.4</v>
      </c>
      <c r="O236" s="1">
        <v>6</v>
      </c>
      <c r="P236" s="1">
        <v>50.2</v>
      </c>
      <c r="Q236" s="15">
        <v>2.69</v>
      </c>
    </row>
    <row r="237" spans="1:17" x14ac:dyDescent="0.25">
      <c r="A237" s="122">
        <v>235</v>
      </c>
      <c r="B237" s="1">
        <v>3.4</v>
      </c>
      <c r="C237" s="1">
        <v>6.2</v>
      </c>
      <c r="D237" s="1">
        <v>51.3</v>
      </c>
      <c r="E237" s="15">
        <v>2.79</v>
      </c>
      <c r="F237" s="1">
        <v>3.4</v>
      </c>
      <c r="G237" s="1">
        <v>5.7</v>
      </c>
      <c r="H237" s="1">
        <v>54.9</v>
      </c>
      <c r="I237" s="15">
        <v>2.89</v>
      </c>
      <c r="N237" s="1">
        <v>3.4</v>
      </c>
      <c r="O237" s="1">
        <v>5.8</v>
      </c>
      <c r="P237" s="1">
        <v>49.5</v>
      </c>
      <c r="Q237" s="15">
        <v>2.61</v>
      </c>
    </row>
    <row r="238" spans="1:17" x14ac:dyDescent="0.25">
      <c r="A238" s="122">
        <v>236</v>
      </c>
      <c r="B238" s="1">
        <v>3.4</v>
      </c>
      <c r="C238" s="1">
        <v>4.4000000000000004</v>
      </c>
      <c r="D238" s="1">
        <v>51.7</v>
      </c>
      <c r="E238" s="15">
        <v>2.81</v>
      </c>
      <c r="F238" s="1">
        <v>3.4</v>
      </c>
      <c r="G238" s="1">
        <v>6.2</v>
      </c>
      <c r="H238" s="1">
        <v>55.4</v>
      </c>
      <c r="I238" s="15">
        <v>2.9</v>
      </c>
      <c r="N238" s="1">
        <v>3.4</v>
      </c>
      <c r="O238" s="1">
        <v>6.3</v>
      </c>
      <c r="P238" s="1">
        <v>48.8</v>
      </c>
      <c r="Q238" s="15">
        <v>2.56</v>
      </c>
    </row>
    <row r="239" spans="1:17" x14ac:dyDescent="0.25">
      <c r="A239" s="122">
        <v>237</v>
      </c>
      <c r="B239" s="1">
        <v>3.4</v>
      </c>
      <c r="C239" s="1">
        <v>6.3</v>
      </c>
      <c r="D239" s="1">
        <v>51.9</v>
      </c>
      <c r="E239" s="15">
        <v>2.83</v>
      </c>
      <c r="F239" s="1">
        <v>3.4</v>
      </c>
      <c r="G239" s="1">
        <v>6.2</v>
      </c>
      <c r="H239" s="1">
        <v>54.9</v>
      </c>
      <c r="I239" s="15">
        <v>2.92</v>
      </c>
      <c r="N239" s="1">
        <v>3.4</v>
      </c>
      <c r="O239" s="1">
        <v>6.2</v>
      </c>
      <c r="P239" s="1">
        <v>48.1</v>
      </c>
      <c r="Q239" s="15">
        <v>2.58</v>
      </c>
    </row>
    <row r="240" spans="1:17" x14ac:dyDescent="0.25">
      <c r="A240" s="122">
        <v>238</v>
      </c>
      <c r="B240" s="1">
        <v>3.4</v>
      </c>
      <c r="C240" s="1">
        <v>6.2</v>
      </c>
      <c r="D240" s="1">
        <v>52.2</v>
      </c>
      <c r="E240" s="15">
        <v>2.86</v>
      </c>
      <c r="F240" s="1">
        <v>3.4</v>
      </c>
      <c r="G240" s="1">
        <v>6</v>
      </c>
      <c r="H240" s="1">
        <v>54.1</v>
      </c>
      <c r="I240" s="15">
        <v>2.93</v>
      </c>
      <c r="N240" s="1">
        <v>3.4</v>
      </c>
      <c r="O240" s="1">
        <v>6.1</v>
      </c>
      <c r="P240" s="1">
        <v>47.5</v>
      </c>
      <c r="Q240" s="15">
        <v>2.52</v>
      </c>
    </row>
    <row r="241" spans="1:17" x14ac:dyDescent="0.25">
      <c r="A241" s="122">
        <v>239</v>
      </c>
      <c r="B241" s="1">
        <v>3.4</v>
      </c>
      <c r="C241" s="1">
        <v>6.1</v>
      </c>
      <c r="D241" s="1">
        <v>52.4</v>
      </c>
      <c r="E241" s="15">
        <v>2.89</v>
      </c>
      <c r="F241" s="1">
        <v>3.4</v>
      </c>
      <c r="G241" s="1">
        <v>5.7</v>
      </c>
      <c r="H241" s="1">
        <v>53.6</v>
      </c>
      <c r="I241" s="15">
        <v>2.95</v>
      </c>
      <c r="N241" s="48">
        <v>3.4</v>
      </c>
      <c r="O241" s="9">
        <v>5.8</v>
      </c>
      <c r="P241" s="9">
        <v>47.1</v>
      </c>
      <c r="Q241" s="22">
        <v>2.4700000000000002</v>
      </c>
    </row>
    <row r="242" spans="1:17" x14ac:dyDescent="0.25">
      <c r="A242" s="122">
        <v>240</v>
      </c>
      <c r="B242" s="1">
        <v>3.4</v>
      </c>
      <c r="C242" s="1">
        <v>5.9</v>
      </c>
      <c r="D242" s="1">
        <v>52.5</v>
      </c>
      <c r="E242" s="15">
        <v>2.86</v>
      </c>
      <c r="F242" s="1">
        <v>3.4</v>
      </c>
      <c r="G242" s="1">
        <v>6.3</v>
      </c>
      <c r="H242" s="1">
        <v>53.2</v>
      </c>
      <c r="I242" s="15">
        <v>2.92</v>
      </c>
      <c r="N242" s="1">
        <v>3.4</v>
      </c>
      <c r="O242" s="1">
        <v>6.3</v>
      </c>
      <c r="P242" s="1">
        <v>46.8</v>
      </c>
      <c r="Q242" s="15">
        <v>2.4700000000000002</v>
      </c>
    </row>
    <row r="243" spans="1:17" x14ac:dyDescent="0.25">
      <c r="A243" s="122">
        <v>241</v>
      </c>
      <c r="B243" s="1">
        <v>3.4</v>
      </c>
      <c r="C243" s="1">
        <v>6.2</v>
      </c>
      <c r="D243" s="1">
        <v>52.6</v>
      </c>
      <c r="E243" s="15">
        <v>2.93</v>
      </c>
      <c r="F243" s="1">
        <v>3.4</v>
      </c>
      <c r="G243" s="1">
        <v>6.2</v>
      </c>
      <c r="H243" s="1">
        <v>53</v>
      </c>
      <c r="I243" s="15">
        <v>2.89</v>
      </c>
      <c r="N243" s="1">
        <v>3.4</v>
      </c>
      <c r="O243" s="1">
        <v>6.2</v>
      </c>
      <c r="P243" s="1">
        <v>46.7</v>
      </c>
      <c r="Q243" s="15">
        <v>2.5</v>
      </c>
    </row>
    <row r="244" spans="1:17" x14ac:dyDescent="0.25">
      <c r="A244" s="122">
        <v>242</v>
      </c>
      <c r="B244" s="1">
        <v>3.4</v>
      </c>
      <c r="C244" s="1">
        <v>6.2</v>
      </c>
      <c r="D244" s="1">
        <v>52.7</v>
      </c>
      <c r="E244" s="15">
        <v>2.96</v>
      </c>
      <c r="F244" s="1">
        <v>3.4</v>
      </c>
      <c r="G244" s="1">
        <v>6</v>
      </c>
      <c r="H244" s="1">
        <v>52.9</v>
      </c>
      <c r="I244" s="15">
        <v>2.93</v>
      </c>
      <c r="N244" s="1">
        <v>3.4</v>
      </c>
      <c r="O244" s="1">
        <v>6.1</v>
      </c>
      <c r="P244" s="1">
        <v>46.7</v>
      </c>
      <c r="Q244" s="15">
        <v>2.84</v>
      </c>
    </row>
    <row r="245" spans="1:17" x14ac:dyDescent="0.25">
      <c r="A245" s="122">
        <v>243</v>
      </c>
      <c r="B245" s="1">
        <v>3.4</v>
      </c>
      <c r="C245" s="1">
        <v>6.1</v>
      </c>
      <c r="D245" s="1">
        <v>52.8</v>
      </c>
      <c r="E245" s="15">
        <v>2.89</v>
      </c>
      <c r="F245" s="1">
        <v>3.4</v>
      </c>
      <c r="G245" s="1">
        <v>5.7</v>
      </c>
      <c r="H245" s="1">
        <v>53</v>
      </c>
      <c r="I245" s="15">
        <v>2.92</v>
      </c>
      <c r="N245" s="1">
        <v>3.4</v>
      </c>
      <c r="O245" s="1">
        <v>5.9</v>
      </c>
      <c r="P245" s="1">
        <v>46.9</v>
      </c>
      <c r="Q245" s="15">
        <v>3</v>
      </c>
    </row>
    <row r="246" spans="1:17" x14ac:dyDescent="0.25">
      <c r="A246" s="122">
        <v>244</v>
      </c>
      <c r="B246" s="1">
        <v>3.4</v>
      </c>
      <c r="C246" s="1">
        <v>5.8</v>
      </c>
      <c r="D246" s="1">
        <v>52.9</v>
      </c>
      <c r="E246" s="15">
        <v>2.92</v>
      </c>
      <c r="F246" s="1">
        <v>3.4</v>
      </c>
      <c r="G246" s="1">
        <v>6.3</v>
      </c>
      <c r="H246" s="1">
        <v>53.6</v>
      </c>
      <c r="I246" s="15">
        <v>2.89</v>
      </c>
      <c r="N246" s="1">
        <v>3.4</v>
      </c>
      <c r="O246" s="1">
        <v>6.2</v>
      </c>
      <c r="P246" s="1">
        <v>46.7</v>
      </c>
      <c r="Q246" s="15">
        <v>3</v>
      </c>
    </row>
    <row r="247" spans="1:17" x14ac:dyDescent="0.25">
      <c r="A247" s="122">
        <v>245</v>
      </c>
      <c r="B247" s="1">
        <v>3.4</v>
      </c>
      <c r="C247" s="1">
        <v>6.3</v>
      </c>
      <c r="D247" s="1">
        <v>53</v>
      </c>
      <c r="E247" s="15">
        <v>2.9</v>
      </c>
      <c r="F247" s="1">
        <v>3.4</v>
      </c>
      <c r="G247" s="1">
        <v>6.2</v>
      </c>
      <c r="H247" s="1">
        <v>53.7</v>
      </c>
      <c r="I247" s="15">
        <v>2.9</v>
      </c>
    </row>
    <row r="248" spans="1:17" x14ac:dyDescent="0.25">
      <c r="A248" s="122">
        <v>246</v>
      </c>
      <c r="B248" s="1">
        <v>3.4</v>
      </c>
      <c r="C248" s="1">
        <v>6.2</v>
      </c>
      <c r="D248" s="1">
        <v>53.1</v>
      </c>
      <c r="E248" s="15">
        <v>2.93</v>
      </c>
      <c r="F248" s="1">
        <v>3.4</v>
      </c>
      <c r="G248" s="1">
        <v>6</v>
      </c>
      <c r="H248" s="1">
        <v>53.7</v>
      </c>
      <c r="I248" s="15">
        <v>2.92</v>
      </c>
    </row>
    <row r="249" spans="1:17" x14ac:dyDescent="0.25">
      <c r="A249" s="122">
        <v>247</v>
      </c>
      <c r="B249" s="1">
        <v>3.4</v>
      </c>
      <c r="C249" s="1">
        <v>6</v>
      </c>
      <c r="D249" s="1">
        <v>53.3</v>
      </c>
      <c r="E249" s="15">
        <v>2.92</v>
      </c>
      <c r="F249" s="1">
        <v>3.4</v>
      </c>
      <c r="G249" s="1">
        <v>5.7</v>
      </c>
      <c r="H249" s="1">
        <v>53.6</v>
      </c>
      <c r="I249" s="15">
        <v>2.92</v>
      </c>
    </row>
    <row r="250" spans="1:17" x14ac:dyDescent="0.25">
      <c r="A250" s="122">
        <v>248</v>
      </c>
      <c r="B250" s="1">
        <v>3.4</v>
      </c>
      <c r="C250" s="1">
        <v>5.7</v>
      </c>
      <c r="D250" s="1">
        <v>53.5</v>
      </c>
      <c r="E250" s="15">
        <v>2.98</v>
      </c>
      <c r="F250" s="1">
        <v>3.4</v>
      </c>
      <c r="G250" s="1">
        <v>6.2</v>
      </c>
      <c r="H250" s="1">
        <v>53.4</v>
      </c>
      <c r="I250" s="15">
        <v>2.9</v>
      </c>
    </row>
    <row r="251" spans="1:17" x14ac:dyDescent="0.25">
      <c r="A251" s="122">
        <v>249</v>
      </c>
      <c r="B251" s="1">
        <v>3.4</v>
      </c>
      <c r="C251" s="1">
        <v>6.2</v>
      </c>
      <c r="D251" s="1">
        <v>53.6</v>
      </c>
      <c r="E251" s="15">
        <v>2.89</v>
      </c>
      <c r="F251" s="1">
        <v>3.4</v>
      </c>
      <c r="G251" s="1">
        <v>6.1</v>
      </c>
      <c r="H251" s="1">
        <v>53.3</v>
      </c>
      <c r="I251" s="15">
        <v>2.9</v>
      </c>
    </row>
    <row r="252" spans="1:17" x14ac:dyDescent="0.25">
      <c r="A252" s="122">
        <v>250</v>
      </c>
      <c r="B252" s="1">
        <v>3.4</v>
      </c>
      <c r="C252" s="1">
        <v>6.2</v>
      </c>
      <c r="D252" s="1">
        <v>53.7</v>
      </c>
      <c r="E252" s="15">
        <v>2.89</v>
      </c>
      <c r="F252" s="1">
        <v>3.4</v>
      </c>
      <c r="G252" s="1">
        <v>5.9</v>
      </c>
      <c r="H252" s="1">
        <v>53.2</v>
      </c>
      <c r="I252" s="15">
        <v>2.92</v>
      </c>
    </row>
    <row r="253" spans="1:17" x14ac:dyDescent="0.25">
      <c r="A253" s="122">
        <v>251</v>
      </c>
      <c r="B253" s="1">
        <v>3.4</v>
      </c>
      <c r="C253" s="1">
        <v>5.9</v>
      </c>
      <c r="D253" s="1">
        <v>53.7</v>
      </c>
      <c r="E253" s="15">
        <v>2.93</v>
      </c>
      <c r="F253" s="1">
        <v>3.4</v>
      </c>
      <c r="G253" s="1">
        <v>6.2</v>
      </c>
      <c r="H253" s="1">
        <v>53</v>
      </c>
      <c r="I253" s="15">
        <v>2.98</v>
      </c>
    </row>
    <row r="254" spans="1:17" x14ac:dyDescent="0.25">
      <c r="A254" s="122">
        <v>252</v>
      </c>
      <c r="B254" s="1">
        <v>3.4</v>
      </c>
      <c r="C254" s="1">
        <v>6.1</v>
      </c>
      <c r="D254" s="1">
        <v>53.7</v>
      </c>
      <c r="E254" s="15">
        <v>2.92</v>
      </c>
      <c r="F254" s="1">
        <v>3.4</v>
      </c>
      <c r="G254" s="1">
        <v>6.2</v>
      </c>
      <c r="H254" s="1">
        <v>52.8</v>
      </c>
      <c r="I254" s="15">
        <v>2.96</v>
      </c>
    </row>
    <row r="255" spans="1:17" x14ac:dyDescent="0.25">
      <c r="A255" s="122">
        <v>253</v>
      </c>
      <c r="B255" s="1">
        <v>3.4</v>
      </c>
      <c r="C255" s="1">
        <v>6.2</v>
      </c>
      <c r="D255" s="1">
        <v>53.8</v>
      </c>
      <c r="E255" s="15">
        <v>2.86</v>
      </c>
      <c r="F255" s="1">
        <v>3.4</v>
      </c>
      <c r="G255" s="1">
        <v>6.1</v>
      </c>
      <c r="H255" s="1">
        <v>52.8</v>
      </c>
      <c r="I255" s="15">
        <v>2.92</v>
      </c>
    </row>
    <row r="256" spans="1:17" x14ac:dyDescent="0.25">
      <c r="A256" s="122">
        <v>254</v>
      </c>
      <c r="B256" s="1">
        <v>3.4</v>
      </c>
      <c r="C256" s="1">
        <v>6.1</v>
      </c>
      <c r="D256" s="1">
        <v>54.1</v>
      </c>
      <c r="E256" s="15">
        <v>2.81</v>
      </c>
      <c r="F256" s="1">
        <v>3.4</v>
      </c>
      <c r="G256" s="1">
        <v>5.8</v>
      </c>
      <c r="H256" s="1">
        <v>52.9</v>
      </c>
      <c r="I256" s="15">
        <v>2.87</v>
      </c>
    </row>
    <row r="257" spans="1:9" x14ac:dyDescent="0.25">
      <c r="A257" s="122">
        <v>255</v>
      </c>
      <c r="B257" s="1">
        <v>3.4</v>
      </c>
      <c r="C257" s="1">
        <v>5.8</v>
      </c>
      <c r="D257" s="1">
        <v>54.5</v>
      </c>
      <c r="E257" s="15">
        <v>2.8</v>
      </c>
      <c r="F257" s="1">
        <v>3.4</v>
      </c>
      <c r="G257" s="1">
        <v>6.3</v>
      </c>
      <c r="H257" s="1">
        <v>53.1</v>
      </c>
      <c r="I257" s="15">
        <v>2.84</v>
      </c>
    </row>
    <row r="258" spans="1:9" x14ac:dyDescent="0.25">
      <c r="A258" s="122">
        <v>256</v>
      </c>
      <c r="B258" s="1">
        <v>3.4</v>
      </c>
      <c r="C258" s="1">
        <v>6.3</v>
      </c>
      <c r="D258" s="1">
        <v>54.4</v>
      </c>
      <c r="E258" s="15">
        <v>2.78</v>
      </c>
      <c r="F258" s="1">
        <v>3.4</v>
      </c>
      <c r="G258" s="1">
        <v>6.1</v>
      </c>
      <c r="H258" s="1">
        <v>53.3</v>
      </c>
      <c r="I258" s="15">
        <v>2.78</v>
      </c>
    </row>
    <row r="259" spans="1:9" x14ac:dyDescent="0.25">
      <c r="A259" s="122">
        <v>257</v>
      </c>
      <c r="B259" s="1">
        <v>3.4</v>
      </c>
      <c r="C259" s="1">
        <v>6.2</v>
      </c>
      <c r="D259" s="1">
        <v>54.9</v>
      </c>
      <c r="E259" s="15">
        <v>2.84</v>
      </c>
      <c r="F259" s="1">
        <v>3.4</v>
      </c>
      <c r="G259" s="1">
        <v>5.8</v>
      </c>
      <c r="H259" s="1">
        <v>53.4</v>
      </c>
      <c r="I259" s="15">
        <v>2.84</v>
      </c>
    </row>
    <row r="260" spans="1:9" x14ac:dyDescent="0.25">
      <c r="A260" s="122">
        <v>258</v>
      </c>
      <c r="B260" s="1">
        <v>3.4</v>
      </c>
      <c r="C260" s="1">
        <v>6</v>
      </c>
      <c r="D260" s="1">
        <v>54.1</v>
      </c>
      <c r="E260" s="15">
        <v>2.78</v>
      </c>
      <c r="F260" s="1">
        <v>3.4</v>
      </c>
      <c r="G260" s="1">
        <v>6.3</v>
      </c>
      <c r="H260" s="1">
        <v>53.6</v>
      </c>
      <c r="I260" s="15">
        <v>2.84</v>
      </c>
    </row>
    <row r="261" spans="1:9" x14ac:dyDescent="0.25">
      <c r="A261" s="122">
        <v>259</v>
      </c>
      <c r="B261" s="1">
        <v>3.4</v>
      </c>
      <c r="C261" s="1">
        <v>5.7</v>
      </c>
      <c r="D261" s="1">
        <v>54.6</v>
      </c>
      <c r="E261" s="15">
        <v>2.81</v>
      </c>
      <c r="F261" s="1">
        <v>3.4</v>
      </c>
      <c r="G261" s="1">
        <v>6.2</v>
      </c>
      <c r="H261" s="1">
        <v>53.6</v>
      </c>
      <c r="I261" s="15">
        <v>2.81</v>
      </c>
    </row>
    <row r="262" spans="1:9" x14ac:dyDescent="0.25">
      <c r="A262" s="122">
        <v>260</v>
      </c>
      <c r="B262" s="1">
        <v>3.4</v>
      </c>
      <c r="C262" s="1">
        <v>6.3</v>
      </c>
      <c r="D262" s="1">
        <v>54.7</v>
      </c>
      <c r="E262" s="15">
        <v>2.89</v>
      </c>
      <c r="F262" s="1">
        <v>3.4</v>
      </c>
      <c r="G262" s="1">
        <v>6.1</v>
      </c>
      <c r="H262" s="1">
        <v>53.7</v>
      </c>
      <c r="I262" s="15">
        <v>2.83</v>
      </c>
    </row>
    <row r="263" spans="1:9" x14ac:dyDescent="0.25">
      <c r="A263" s="122">
        <v>261</v>
      </c>
      <c r="B263" s="1">
        <v>3.4</v>
      </c>
      <c r="C263" s="1">
        <v>6.2</v>
      </c>
      <c r="D263" s="1">
        <v>54.5</v>
      </c>
      <c r="E263" s="15">
        <v>2.84</v>
      </c>
      <c r="F263" s="1">
        <v>3.4</v>
      </c>
      <c r="G263" s="1">
        <v>5.9</v>
      </c>
      <c r="H263" s="1">
        <v>53.8</v>
      </c>
      <c r="I263" s="15">
        <v>2.78</v>
      </c>
    </row>
    <row r="264" spans="1:9" x14ac:dyDescent="0.25">
      <c r="A264" s="122">
        <v>262</v>
      </c>
      <c r="B264" s="1">
        <v>3.4</v>
      </c>
      <c r="C264" s="1">
        <v>5.7</v>
      </c>
      <c r="D264" s="1">
        <v>54.3</v>
      </c>
      <c r="E264" s="15">
        <v>2.83</v>
      </c>
      <c r="F264" s="1">
        <v>3.4</v>
      </c>
      <c r="G264" s="1">
        <v>6.2</v>
      </c>
      <c r="H264" s="1">
        <v>53.8</v>
      </c>
      <c r="I264" s="15">
        <v>2.8</v>
      </c>
    </row>
    <row r="265" spans="1:9" x14ac:dyDescent="0.25">
      <c r="A265" s="122">
        <v>263</v>
      </c>
      <c r="B265" s="1">
        <v>3.4</v>
      </c>
      <c r="C265" s="1">
        <v>6.3</v>
      </c>
      <c r="D265" s="1">
        <v>54.2</v>
      </c>
      <c r="E265" s="15">
        <v>2.87</v>
      </c>
      <c r="F265" s="1">
        <v>3.4</v>
      </c>
      <c r="G265" s="1">
        <v>6.2</v>
      </c>
      <c r="H265" s="1">
        <v>53.8</v>
      </c>
      <c r="I265" s="15">
        <v>2.81</v>
      </c>
    </row>
    <row r="266" spans="1:9" x14ac:dyDescent="0.25">
      <c r="A266" s="122">
        <v>264</v>
      </c>
      <c r="B266" s="48">
        <v>3.4</v>
      </c>
      <c r="C266" s="9">
        <v>6.2</v>
      </c>
      <c r="D266" s="9">
        <v>54</v>
      </c>
      <c r="E266" s="22">
        <v>2.84</v>
      </c>
      <c r="F266" s="1">
        <v>3.4</v>
      </c>
      <c r="G266" s="1">
        <v>6.1</v>
      </c>
      <c r="H266" s="1">
        <v>53.9</v>
      </c>
      <c r="I266" s="15">
        <v>2.84</v>
      </c>
    </row>
    <row r="267" spans="1:9" x14ac:dyDescent="0.25">
      <c r="A267" s="122">
        <v>265</v>
      </c>
      <c r="B267" s="1">
        <v>3.4</v>
      </c>
      <c r="C267" s="1">
        <v>6</v>
      </c>
      <c r="D267" s="1">
        <v>53.8</v>
      </c>
      <c r="E267" s="15">
        <v>2.78</v>
      </c>
      <c r="F267" s="1">
        <v>3.4</v>
      </c>
      <c r="G267" s="1">
        <v>5.9</v>
      </c>
      <c r="H267" s="1">
        <v>53.9</v>
      </c>
      <c r="I267" s="15">
        <v>2.83</v>
      </c>
    </row>
    <row r="268" spans="1:9" x14ac:dyDescent="0.25">
      <c r="A268" s="122">
        <v>266</v>
      </c>
      <c r="B268" s="1">
        <v>3.4</v>
      </c>
      <c r="C268" s="1">
        <v>5.8</v>
      </c>
      <c r="D268" s="1">
        <v>53.7</v>
      </c>
      <c r="E268" s="15">
        <v>2.78</v>
      </c>
      <c r="F268" s="1">
        <v>3.4</v>
      </c>
      <c r="G268" s="1">
        <v>6</v>
      </c>
      <c r="H268" s="1">
        <v>54</v>
      </c>
      <c r="I268" s="15">
        <v>2.86</v>
      </c>
    </row>
    <row r="269" spans="1:9" x14ac:dyDescent="0.25">
      <c r="A269" s="122">
        <v>267</v>
      </c>
      <c r="B269" s="1">
        <v>3.4</v>
      </c>
      <c r="C269" s="1">
        <v>6.2</v>
      </c>
      <c r="D269" s="1">
        <v>53.5</v>
      </c>
      <c r="E269" s="15">
        <v>2.69</v>
      </c>
      <c r="F269" s="1">
        <v>3.4</v>
      </c>
      <c r="G269" s="1">
        <v>6.2</v>
      </c>
      <c r="H269" s="1">
        <v>54.1</v>
      </c>
      <c r="I269" s="15">
        <v>2.79</v>
      </c>
    </row>
    <row r="270" spans="1:9" x14ac:dyDescent="0.25">
      <c r="A270" s="122">
        <v>268</v>
      </c>
      <c r="B270" s="1">
        <v>3.4</v>
      </c>
      <c r="C270" s="1">
        <v>6.1</v>
      </c>
      <c r="D270" s="1">
        <v>53.3</v>
      </c>
      <c r="E270" s="15">
        <v>2.67</v>
      </c>
      <c r="F270" s="1">
        <v>3.4</v>
      </c>
      <c r="G270" s="1">
        <v>6.1</v>
      </c>
      <c r="H270" s="1">
        <v>54.1</v>
      </c>
      <c r="I270" s="15">
        <v>2.81</v>
      </c>
    </row>
    <row r="271" spans="1:9" x14ac:dyDescent="0.25">
      <c r="A271" s="122">
        <v>269</v>
      </c>
      <c r="B271" s="1">
        <v>3.4</v>
      </c>
      <c r="C271" s="1">
        <v>5.9</v>
      </c>
      <c r="D271" s="1">
        <v>53.2</v>
      </c>
      <c r="E271" s="15">
        <v>2.7</v>
      </c>
      <c r="F271" s="1">
        <v>3.4</v>
      </c>
      <c r="G271" s="1">
        <v>6</v>
      </c>
      <c r="H271" s="1">
        <v>54.2</v>
      </c>
      <c r="I271" s="15">
        <v>2.78</v>
      </c>
    </row>
    <row r="272" spans="1:9" x14ac:dyDescent="0.25">
      <c r="A272" s="122">
        <v>270</v>
      </c>
      <c r="B272" s="1">
        <v>3.4</v>
      </c>
      <c r="C272" s="1">
        <v>6.2</v>
      </c>
      <c r="D272" s="1">
        <v>53.1</v>
      </c>
      <c r="E272" s="15">
        <v>2.7</v>
      </c>
      <c r="F272" s="1">
        <v>3.4</v>
      </c>
      <c r="G272" s="1">
        <v>5.7</v>
      </c>
      <c r="H272" s="1">
        <v>54.3</v>
      </c>
      <c r="I272" s="15">
        <v>2.78</v>
      </c>
    </row>
    <row r="273" spans="1:9" x14ac:dyDescent="0.25">
      <c r="A273" s="122">
        <v>271</v>
      </c>
      <c r="F273" s="1">
        <v>3.4</v>
      </c>
      <c r="G273" s="1">
        <v>6.2</v>
      </c>
      <c r="H273" s="1">
        <v>54.3</v>
      </c>
      <c r="I273" s="15">
        <v>2.8</v>
      </c>
    </row>
    <row r="274" spans="1:9" x14ac:dyDescent="0.25">
      <c r="A274" s="122">
        <v>272</v>
      </c>
      <c r="F274" s="1">
        <v>3.4</v>
      </c>
      <c r="G274" s="1">
        <v>6.2</v>
      </c>
      <c r="H274" s="1">
        <v>54.4</v>
      </c>
      <c r="I274" s="15">
        <v>2.83</v>
      </c>
    </row>
    <row r="275" spans="1:9" x14ac:dyDescent="0.25">
      <c r="A275" s="122">
        <v>273</v>
      </c>
      <c r="F275" s="1">
        <v>3.4</v>
      </c>
      <c r="G275" s="1">
        <v>6</v>
      </c>
      <c r="H275" s="1">
        <v>54.5</v>
      </c>
      <c r="I275" s="15">
        <v>2.81</v>
      </c>
    </row>
    <row r="276" spans="1:9" x14ac:dyDescent="0.25">
      <c r="A276" s="122">
        <v>274</v>
      </c>
      <c r="F276" s="1">
        <v>3.4</v>
      </c>
      <c r="G276" s="1">
        <v>5.7</v>
      </c>
      <c r="H276" s="1">
        <v>54.7</v>
      </c>
      <c r="I276" s="15">
        <v>2.84</v>
      </c>
    </row>
    <row r="277" spans="1:9" x14ac:dyDescent="0.25">
      <c r="A277" s="122">
        <v>275</v>
      </c>
      <c r="F277" s="1">
        <v>3.4</v>
      </c>
      <c r="G277" s="1">
        <v>6.2</v>
      </c>
      <c r="H277" s="1">
        <v>55</v>
      </c>
      <c r="I277" s="15">
        <v>2.72</v>
      </c>
    </row>
    <row r="278" spans="1:9" x14ac:dyDescent="0.25">
      <c r="A278" s="122">
        <v>276</v>
      </c>
      <c r="F278" s="1">
        <v>3.4</v>
      </c>
      <c r="G278" s="1">
        <v>6.2</v>
      </c>
      <c r="H278" s="1">
        <v>54.3</v>
      </c>
      <c r="I278" s="15">
        <v>2.64</v>
      </c>
    </row>
    <row r="279" spans="1:9" x14ac:dyDescent="0.25">
      <c r="A279" s="122">
        <v>277</v>
      </c>
      <c r="F279" s="1">
        <v>3.4</v>
      </c>
      <c r="G279" s="1">
        <v>6</v>
      </c>
      <c r="H279" s="1">
        <v>54.6</v>
      </c>
      <c r="I279" s="15">
        <v>2.64</v>
      </c>
    </row>
    <row r="280" spans="1:9" x14ac:dyDescent="0.25">
      <c r="A280" s="122">
        <v>278</v>
      </c>
      <c r="F280" s="1">
        <v>3.4</v>
      </c>
      <c r="G280" s="1">
        <v>5.7</v>
      </c>
      <c r="H280" s="1">
        <v>54.7</v>
      </c>
      <c r="I280" s="15">
        <v>2.94</v>
      </c>
    </row>
    <row r="281" spans="1:9" x14ac:dyDescent="0.25">
      <c r="A281" s="122">
        <v>279</v>
      </c>
      <c r="F281" s="1">
        <v>3.4</v>
      </c>
      <c r="G281" s="1">
        <v>6.2</v>
      </c>
      <c r="H281" s="1">
        <v>54.9</v>
      </c>
      <c r="I281" s="15">
        <v>2.7</v>
      </c>
    </row>
    <row r="282" spans="1:9" x14ac:dyDescent="0.25">
      <c r="A282" s="122">
        <v>280</v>
      </c>
      <c r="F282" s="1">
        <v>3.4</v>
      </c>
      <c r="G282" s="1">
        <v>6.2</v>
      </c>
      <c r="H282" s="1">
        <v>55.4</v>
      </c>
      <c r="I282" s="15">
        <v>2.79</v>
      </c>
    </row>
    <row r="283" spans="1:9" x14ac:dyDescent="0.25">
      <c r="A283" s="122">
        <v>281</v>
      </c>
      <c r="F283" s="1">
        <v>3.4</v>
      </c>
      <c r="G283" s="1">
        <v>5.7</v>
      </c>
      <c r="H283" s="1">
        <v>55.3</v>
      </c>
      <c r="I283" s="15">
        <v>2.84</v>
      </c>
    </row>
    <row r="284" spans="1:9" x14ac:dyDescent="0.25">
      <c r="A284" s="122">
        <v>282</v>
      </c>
      <c r="F284" s="1">
        <v>3.4</v>
      </c>
      <c r="G284" s="1">
        <v>6.3</v>
      </c>
      <c r="H284" s="1">
        <v>55.1</v>
      </c>
      <c r="I284" s="15">
        <v>2.89</v>
      </c>
    </row>
    <row r="285" spans="1:9" x14ac:dyDescent="0.25">
      <c r="A285" s="122">
        <v>283</v>
      </c>
      <c r="F285" s="1">
        <v>3.4</v>
      </c>
      <c r="G285" s="1">
        <v>6.2</v>
      </c>
      <c r="H285" s="1">
        <v>55</v>
      </c>
      <c r="I285" s="15">
        <v>2.92</v>
      </c>
    </row>
    <row r="286" spans="1:9" x14ac:dyDescent="0.25">
      <c r="A286" s="122">
        <v>284</v>
      </c>
      <c r="F286" s="1">
        <v>3.4</v>
      </c>
      <c r="G286" s="1">
        <v>6</v>
      </c>
      <c r="H286" s="1">
        <v>54.9</v>
      </c>
      <c r="I286" s="15">
        <v>2.8</v>
      </c>
    </row>
    <row r="287" spans="1:9" x14ac:dyDescent="0.25">
      <c r="A287" s="122">
        <v>285</v>
      </c>
      <c r="F287" s="1">
        <v>3.4</v>
      </c>
      <c r="G287" s="1">
        <v>5.7</v>
      </c>
      <c r="H287" s="1">
        <v>54.9</v>
      </c>
      <c r="I287" s="15">
        <v>2.89</v>
      </c>
    </row>
    <row r="288" spans="1:9" x14ac:dyDescent="0.25">
      <c r="A288" s="122">
        <v>286</v>
      </c>
      <c r="F288" s="1">
        <v>3.4</v>
      </c>
      <c r="G288" s="1">
        <v>6.2</v>
      </c>
      <c r="H288" s="1">
        <v>54.8</v>
      </c>
      <c r="I288" s="15">
        <v>2.96</v>
      </c>
    </row>
    <row r="289" spans="1:9" x14ac:dyDescent="0.25">
      <c r="A289" s="122">
        <v>287</v>
      </c>
      <c r="F289" s="1">
        <v>3.4</v>
      </c>
      <c r="G289" s="1">
        <v>6.1</v>
      </c>
      <c r="H289" s="1">
        <v>54.7</v>
      </c>
      <c r="I289" s="15">
        <v>2.92</v>
      </c>
    </row>
    <row r="290" spans="1:9" x14ac:dyDescent="0.25">
      <c r="A290" s="122">
        <v>288</v>
      </c>
      <c r="F290" s="1">
        <v>3.4</v>
      </c>
      <c r="G290" s="1">
        <v>5.9</v>
      </c>
      <c r="H290" s="1">
        <v>54.7</v>
      </c>
      <c r="I290" s="15">
        <v>2.92</v>
      </c>
    </row>
    <row r="291" spans="1:9" x14ac:dyDescent="0.25">
      <c r="A291" s="122">
        <v>289</v>
      </c>
      <c r="F291" s="1">
        <v>3.4</v>
      </c>
      <c r="G291" s="1">
        <v>6.2</v>
      </c>
      <c r="H291" s="1">
        <v>54.6</v>
      </c>
      <c r="I291" s="15">
        <v>2.9</v>
      </c>
    </row>
    <row r="292" spans="1:9" x14ac:dyDescent="0.25">
      <c r="A292" s="122">
        <v>290</v>
      </c>
      <c r="F292" s="1">
        <v>3.4</v>
      </c>
      <c r="G292" s="1">
        <v>6.2</v>
      </c>
      <c r="H292" s="1">
        <v>54.5</v>
      </c>
      <c r="I292" s="15">
        <v>2.87</v>
      </c>
    </row>
    <row r="293" spans="1:9" x14ac:dyDescent="0.25">
      <c r="A293" s="122">
        <v>291</v>
      </c>
      <c r="F293" s="1">
        <v>3.4</v>
      </c>
      <c r="G293" s="1">
        <v>6.1</v>
      </c>
      <c r="H293" s="1">
        <v>54.3</v>
      </c>
      <c r="I293" s="15">
        <v>2.78</v>
      </c>
    </row>
    <row r="294" spans="1:9" x14ac:dyDescent="0.25">
      <c r="A294" s="122">
        <v>292</v>
      </c>
      <c r="F294" s="1">
        <v>3.4</v>
      </c>
      <c r="G294" s="1">
        <v>5.8</v>
      </c>
      <c r="H294" s="1">
        <v>54.2</v>
      </c>
      <c r="I294" s="15">
        <v>2.87</v>
      </c>
    </row>
    <row r="295" spans="1:9" x14ac:dyDescent="0.25">
      <c r="A295" s="122">
        <v>293</v>
      </c>
      <c r="F295" s="1">
        <v>3.4</v>
      </c>
      <c r="G295" s="1">
        <v>6.3</v>
      </c>
      <c r="H295" s="1">
        <v>54.2</v>
      </c>
      <c r="I295" s="15">
        <v>2.98</v>
      </c>
    </row>
    <row r="296" spans="1:9" x14ac:dyDescent="0.25">
      <c r="A296" s="122">
        <v>294</v>
      </c>
      <c r="F296" s="1">
        <v>3.4</v>
      </c>
      <c r="G296" s="1">
        <v>6.2</v>
      </c>
      <c r="H296" s="1">
        <v>53.9</v>
      </c>
      <c r="I296" s="15">
        <v>2.89</v>
      </c>
    </row>
    <row r="297" spans="1:9" x14ac:dyDescent="0.25">
      <c r="A297" s="122">
        <v>295</v>
      </c>
      <c r="F297" s="1">
        <v>3.4</v>
      </c>
      <c r="G297" s="1">
        <v>6</v>
      </c>
      <c r="H297" s="1">
        <v>53.7</v>
      </c>
      <c r="I297" s="15">
        <v>2.84</v>
      </c>
    </row>
    <row r="298" spans="1:9" x14ac:dyDescent="0.25">
      <c r="A298" s="122">
        <v>296</v>
      </c>
      <c r="F298" s="1">
        <v>3.4</v>
      </c>
      <c r="G298" s="1">
        <v>5.7</v>
      </c>
      <c r="H298" s="1">
        <v>53.6</v>
      </c>
      <c r="I298" s="15">
        <v>2.87</v>
      </c>
    </row>
    <row r="299" spans="1:9" x14ac:dyDescent="0.25">
      <c r="A299" s="122">
        <v>297</v>
      </c>
      <c r="F299" s="1">
        <v>3.4</v>
      </c>
      <c r="G299" s="1">
        <v>6.3</v>
      </c>
      <c r="H299" s="1">
        <v>53.3</v>
      </c>
      <c r="I299" s="15">
        <v>2.84</v>
      </c>
    </row>
    <row r="300" spans="1:9" x14ac:dyDescent="0.25">
      <c r="A300" s="122">
        <v>298</v>
      </c>
      <c r="F300" s="1">
        <v>3.4</v>
      </c>
      <c r="G300" s="1">
        <v>6.2</v>
      </c>
      <c r="H300" s="1">
        <v>52.9</v>
      </c>
      <c r="I300" s="15">
        <v>2.78</v>
      </c>
    </row>
    <row r="301" spans="1:9" x14ac:dyDescent="0.25">
      <c r="A301" s="122">
        <v>299</v>
      </c>
      <c r="F301" s="1">
        <v>3.4</v>
      </c>
      <c r="G301" s="1">
        <v>6</v>
      </c>
      <c r="H301" s="1">
        <v>52.9</v>
      </c>
      <c r="I301" s="15">
        <v>2.77</v>
      </c>
    </row>
    <row r="302" spans="1:9" x14ac:dyDescent="0.25">
      <c r="A302" s="122">
        <v>300</v>
      </c>
      <c r="F302" s="1">
        <v>3.4</v>
      </c>
      <c r="G302" s="1">
        <v>5.7</v>
      </c>
      <c r="H302" s="1">
        <v>53.2</v>
      </c>
      <c r="I302" s="15">
        <v>2.78</v>
      </c>
    </row>
    <row r="303" spans="1:9" x14ac:dyDescent="0.25">
      <c r="A303" s="122">
        <v>301</v>
      </c>
      <c r="F303" s="1">
        <v>3.4</v>
      </c>
      <c r="G303" s="1">
        <v>6.2</v>
      </c>
      <c r="H303" s="1">
        <v>53.4</v>
      </c>
      <c r="I303" s="15">
        <v>2.78</v>
      </c>
    </row>
    <row r="304" spans="1:9" x14ac:dyDescent="0.25">
      <c r="A304" s="122">
        <v>302</v>
      </c>
      <c r="F304" s="1">
        <v>3.4</v>
      </c>
      <c r="G304" s="1">
        <v>6.1</v>
      </c>
      <c r="H304" s="1">
        <v>53.8</v>
      </c>
      <c r="I304" s="15">
        <v>2.78</v>
      </c>
    </row>
    <row r="305" spans="1:9" x14ac:dyDescent="0.25">
      <c r="A305" s="122">
        <v>303</v>
      </c>
      <c r="F305" s="1">
        <v>3.5</v>
      </c>
      <c r="G305" s="1">
        <v>6</v>
      </c>
      <c r="H305" s="1">
        <v>32.299999999999997</v>
      </c>
      <c r="I305" s="15">
        <v>0.26</v>
      </c>
    </row>
    <row r="306" spans="1:9" x14ac:dyDescent="0.25">
      <c r="A306" s="122">
        <v>304</v>
      </c>
      <c r="F306" s="1">
        <v>3.5</v>
      </c>
      <c r="G306" s="1">
        <v>6.1</v>
      </c>
      <c r="H306" s="1">
        <v>44.3</v>
      </c>
      <c r="I306" s="15">
        <v>2.16</v>
      </c>
    </row>
    <row r="307" spans="1:9" x14ac:dyDescent="0.25">
      <c r="A307" s="122">
        <v>305</v>
      </c>
      <c r="F307" s="1">
        <v>3.5</v>
      </c>
      <c r="G307" s="1">
        <v>5.8</v>
      </c>
      <c r="H307" s="1">
        <v>52.4</v>
      </c>
      <c r="I307" s="15">
        <v>3.43</v>
      </c>
    </row>
    <row r="308" spans="1:9" x14ac:dyDescent="0.25">
      <c r="A308" s="122">
        <v>306</v>
      </c>
      <c r="F308" s="1">
        <v>3.4</v>
      </c>
      <c r="G308" s="1">
        <v>6.2</v>
      </c>
      <c r="H308" s="1">
        <v>53.5</v>
      </c>
      <c r="I308" s="15">
        <v>4.24</v>
      </c>
    </row>
    <row r="309" spans="1:9" x14ac:dyDescent="0.25">
      <c r="A309" s="122">
        <v>307</v>
      </c>
      <c r="F309" s="1">
        <v>3.4</v>
      </c>
      <c r="G309" s="1">
        <v>6.2</v>
      </c>
      <c r="H309" s="1">
        <v>53.6</v>
      </c>
      <c r="I309" s="15">
        <v>4.28</v>
      </c>
    </row>
    <row r="310" spans="1:9" x14ac:dyDescent="0.25">
      <c r="A310" s="122">
        <v>308</v>
      </c>
      <c r="F310" s="1">
        <v>3.4</v>
      </c>
      <c r="G310" s="1">
        <v>6.1</v>
      </c>
      <c r="H310" s="1">
        <v>53.5</v>
      </c>
      <c r="I310" s="15">
        <v>3.59</v>
      </c>
    </row>
    <row r="311" spans="1:9" x14ac:dyDescent="0.25">
      <c r="A311" s="122">
        <v>309</v>
      </c>
      <c r="F311" s="1">
        <v>3.4</v>
      </c>
      <c r="G311" s="1">
        <v>5.8</v>
      </c>
      <c r="H311" s="1">
        <v>52.8</v>
      </c>
      <c r="I311" s="15">
        <v>3.09</v>
      </c>
    </row>
    <row r="312" spans="1:9" x14ac:dyDescent="0.25">
      <c r="A312" s="122">
        <v>310</v>
      </c>
      <c r="F312" s="1">
        <v>3.4</v>
      </c>
      <c r="G312" s="1">
        <v>6.2</v>
      </c>
      <c r="H312" s="1">
        <v>52.6</v>
      </c>
      <c r="I312" s="15">
        <v>3.01</v>
      </c>
    </row>
    <row r="313" spans="1:9" x14ac:dyDescent="0.25">
      <c r="A313" s="122">
        <v>311</v>
      </c>
      <c r="F313" s="1">
        <v>3.4</v>
      </c>
      <c r="G313" s="1">
        <v>6.2</v>
      </c>
      <c r="H313" s="1">
        <v>51.1</v>
      </c>
      <c r="I313" s="15">
        <v>2.78</v>
      </c>
    </row>
    <row r="314" spans="1:9" x14ac:dyDescent="0.25">
      <c r="A314" s="122">
        <v>312</v>
      </c>
      <c r="F314" s="1">
        <v>3.4</v>
      </c>
      <c r="G314" s="1">
        <v>6.1</v>
      </c>
      <c r="H314" s="1">
        <v>50.6</v>
      </c>
      <c r="I314" s="15">
        <v>2.84</v>
      </c>
    </row>
    <row r="315" spans="1:9" x14ac:dyDescent="0.25">
      <c r="A315" s="122">
        <v>313</v>
      </c>
      <c r="F315" s="1">
        <v>3.4</v>
      </c>
      <c r="G315" s="1">
        <v>5.8</v>
      </c>
      <c r="H315" s="1">
        <v>50.8</v>
      </c>
      <c r="I315" s="15">
        <v>2.83</v>
      </c>
    </row>
    <row r="316" spans="1:9" x14ac:dyDescent="0.25">
      <c r="A316" s="122">
        <v>314</v>
      </c>
      <c r="F316" s="1">
        <v>3.4</v>
      </c>
      <c r="G316" s="1">
        <v>6.2</v>
      </c>
      <c r="H316" s="1">
        <v>51.2</v>
      </c>
      <c r="I316" s="15">
        <v>2.89</v>
      </c>
    </row>
    <row r="317" spans="1:9" x14ac:dyDescent="0.25">
      <c r="A317" s="122">
        <v>315</v>
      </c>
      <c r="F317" s="1">
        <v>3.4</v>
      </c>
      <c r="G317" s="1">
        <v>6.2</v>
      </c>
      <c r="H317" s="1">
        <v>51.6</v>
      </c>
      <c r="I317" s="15">
        <v>2.93</v>
      </c>
    </row>
    <row r="318" spans="1:9" x14ac:dyDescent="0.25">
      <c r="A318" s="122">
        <v>316</v>
      </c>
      <c r="F318" s="1">
        <v>3.4</v>
      </c>
      <c r="G318" s="1">
        <v>6.1</v>
      </c>
      <c r="H318" s="1">
        <v>51.6</v>
      </c>
      <c r="I318" s="15">
        <v>2.86</v>
      </c>
    </row>
    <row r="319" spans="1:9" x14ac:dyDescent="0.25">
      <c r="A319" s="122">
        <v>317</v>
      </c>
      <c r="F319" s="1">
        <v>3.4</v>
      </c>
      <c r="G319" s="1">
        <v>5.9</v>
      </c>
      <c r="H319" s="1">
        <v>51.8</v>
      </c>
      <c r="I319" s="15">
        <v>2.92</v>
      </c>
    </row>
    <row r="320" spans="1:9" x14ac:dyDescent="0.25">
      <c r="A320" s="122">
        <v>318</v>
      </c>
      <c r="F320" s="1">
        <v>3.4</v>
      </c>
      <c r="G320" s="1">
        <v>6.2</v>
      </c>
      <c r="H320" s="1">
        <v>52.1</v>
      </c>
      <c r="I320" s="15">
        <v>2.98</v>
      </c>
    </row>
    <row r="321" spans="1:9" x14ac:dyDescent="0.25">
      <c r="A321" s="122">
        <v>319</v>
      </c>
      <c r="F321" s="1">
        <v>3.4</v>
      </c>
      <c r="G321" s="1">
        <v>6.2</v>
      </c>
      <c r="H321" s="1">
        <v>52.1</v>
      </c>
      <c r="I321" s="15">
        <v>2.98</v>
      </c>
    </row>
    <row r="322" spans="1:9" x14ac:dyDescent="0.25">
      <c r="A322" s="122">
        <v>320</v>
      </c>
      <c r="F322" s="1">
        <v>3.4</v>
      </c>
      <c r="G322" s="1">
        <v>6.1</v>
      </c>
      <c r="H322" s="1">
        <v>52.1</v>
      </c>
      <c r="I322" s="15">
        <v>2.94</v>
      </c>
    </row>
    <row r="323" spans="1:9" x14ac:dyDescent="0.25">
      <c r="A323" s="122">
        <v>321</v>
      </c>
      <c r="F323" s="1">
        <v>3.4</v>
      </c>
      <c r="G323" s="1">
        <v>5.9</v>
      </c>
      <c r="H323" s="1">
        <v>52.1</v>
      </c>
      <c r="I323" s="15">
        <v>2.92</v>
      </c>
    </row>
    <row r="324" spans="1:9" x14ac:dyDescent="0.25">
      <c r="A324" s="122">
        <v>322</v>
      </c>
      <c r="F324" s="1">
        <v>3.4</v>
      </c>
      <c r="G324" s="1">
        <v>6.1</v>
      </c>
      <c r="H324" s="1">
        <v>52.3</v>
      </c>
      <c r="I324" s="15">
        <v>2.98</v>
      </c>
    </row>
    <row r="325" spans="1:9" x14ac:dyDescent="0.25">
      <c r="A325" s="122">
        <v>323</v>
      </c>
      <c r="F325" s="1">
        <v>3.4</v>
      </c>
      <c r="G325" s="1">
        <v>6.2</v>
      </c>
      <c r="H325" s="1">
        <v>52.2</v>
      </c>
      <c r="I325" s="15">
        <v>2.92</v>
      </c>
    </row>
    <row r="326" spans="1:9" x14ac:dyDescent="0.25">
      <c r="A326" s="122">
        <v>324</v>
      </c>
      <c r="F326" s="124">
        <v>3.4</v>
      </c>
      <c r="G326" s="125">
        <v>6.1</v>
      </c>
      <c r="H326" s="125">
        <v>52.2</v>
      </c>
      <c r="I326" s="126">
        <v>2.87</v>
      </c>
    </row>
    <row r="327" spans="1:9" x14ac:dyDescent="0.25">
      <c r="A327" s="122">
        <v>325</v>
      </c>
      <c r="F327" s="1">
        <v>3.4</v>
      </c>
      <c r="G327" s="1">
        <v>5.9</v>
      </c>
      <c r="H327" s="1">
        <v>51.6</v>
      </c>
      <c r="I327" s="15">
        <v>2.9</v>
      </c>
    </row>
    <row r="328" spans="1:9" x14ac:dyDescent="0.25">
      <c r="A328" s="122">
        <v>326</v>
      </c>
      <c r="F328" s="1">
        <v>3.4</v>
      </c>
      <c r="G328" s="1">
        <v>6</v>
      </c>
      <c r="H328" s="1">
        <v>53.8</v>
      </c>
      <c r="I328" s="15">
        <v>2.97</v>
      </c>
    </row>
    <row r="329" spans="1:9" x14ac:dyDescent="0.25">
      <c r="A329" s="122">
        <v>327</v>
      </c>
      <c r="F329" s="1">
        <v>3.4</v>
      </c>
      <c r="G329" s="1">
        <v>6.2</v>
      </c>
      <c r="H329" s="1">
        <v>54.5</v>
      </c>
      <c r="I329" s="15">
        <v>3.29</v>
      </c>
    </row>
    <row r="330" spans="1:9" x14ac:dyDescent="0.25">
      <c r="A330" s="122">
        <v>328</v>
      </c>
      <c r="F330" s="1">
        <v>3.4</v>
      </c>
      <c r="G330" s="1">
        <v>4.7</v>
      </c>
      <c r="H330" s="1">
        <v>54.5</v>
      </c>
      <c r="I330" s="15">
        <v>3.29</v>
      </c>
    </row>
    <row r="331" spans="1:9" x14ac:dyDescent="0.25">
      <c r="A331" s="122">
        <v>329</v>
      </c>
      <c r="F331" s="1">
        <v>3.4</v>
      </c>
      <c r="G331" s="1">
        <v>5.7</v>
      </c>
      <c r="H331" s="1">
        <v>55.6</v>
      </c>
      <c r="I331" s="15">
        <v>6.21</v>
      </c>
    </row>
    <row r="332" spans="1:9" x14ac:dyDescent="0.25">
      <c r="A332" s="122">
        <v>330</v>
      </c>
      <c r="F332" s="1">
        <v>3.4</v>
      </c>
      <c r="G332" s="1">
        <v>6.2</v>
      </c>
      <c r="H332" s="1">
        <v>55.4</v>
      </c>
      <c r="I332" s="15">
        <v>3.88</v>
      </c>
    </row>
  </sheetData>
  <mergeCells count="4">
    <mergeCell ref="B1:E1"/>
    <mergeCell ref="F1:I1"/>
    <mergeCell ref="J1:M1"/>
    <mergeCell ref="N1:Q1"/>
  </mergeCells>
  <phoneticPr fontId="9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76F0-B907-44FD-A687-C20708B175EB}">
  <dimension ref="A1:J20"/>
  <sheetViews>
    <sheetView workbookViewId="0">
      <selection activeCell="J31" sqref="J31"/>
    </sheetView>
  </sheetViews>
  <sheetFormatPr baseColWidth="10" defaultColWidth="11.42578125" defaultRowHeight="15" x14ac:dyDescent="0.25"/>
  <cols>
    <col min="1" max="1" width="11.7109375" bestFit="1" customWidth="1"/>
    <col min="2" max="10" width="7.5703125" customWidth="1"/>
  </cols>
  <sheetData>
    <row r="1" spans="1:10" x14ac:dyDescent="0.25">
      <c r="A1" s="150" t="s">
        <v>20</v>
      </c>
      <c r="B1" s="167" t="s">
        <v>41</v>
      </c>
      <c r="C1" s="168"/>
      <c r="D1" s="168"/>
      <c r="E1" s="168"/>
      <c r="F1" s="168"/>
      <c r="G1" s="169" t="s">
        <v>3</v>
      </c>
      <c r="H1" s="168" t="s">
        <v>42</v>
      </c>
      <c r="I1" s="168" t="s">
        <v>43</v>
      </c>
      <c r="J1" s="165" t="s">
        <v>44</v>
      </c>
    </row>
    <row r="2" spans="1:10" x14ac:dyDescent="0.25">
      <c r="A2" s="151"/>
      <c r="B2" s="37">
        <v>1</v>
      </c>
      <c r="C2" s="134">
        <v>2</v>
      </c>
      <c r="D2" s="134">
        <v>3</v>
      </c>
      <c r="E2" s="134">
        <v>4</v>
      </c>
      <c r="F2" s="134">
        <v>5</v>
      </c>
      <c r="G2" s="170"/>
      <c r="H2" s="171"/>
      <c r="I2" s="171"/>
      <c r="J2" s="166"/>
    </row>
    <row r="3" spans="1:10" x14ac:dyDescent="0.25">
      <c r="A3" s="39">
        <v>1</v>
      </c>
      <c r="B3" s="43">
        <f>'Lote 1'!C14</f>
        <v>1345</v>
      </c>
      <c r="C3" s="44">
        <f>'Lote 1'!D14</f>
        <v>1341</v>
      </c>
      <c r="D3" s="44">
        <f>'Lote 1'!E14</f>
        <v>1344</v>
      </c>
      <c r="E3" s="44">
        <f>'Lote 1'!F14</f>
        <v>1356</v>
      </c>
      <c r="F3" s="44">
        <f>'Lote 1'!G14</f>
        <v>1340</v>
      </c>
      <c r="G3" s="18">
        <f>ROUNDDOWN(AVERAGE(B3:F3),0)</f>
        <v>1345</v>
      </c>
      <c r="H3" s="6">
        <f>MAX(B3:F3)</f>
        <v>1356</v>
      </c>
      <c r="I3" s="6">
        <f>MIN(B3:F3)</f>
        <v>1340</v>
      </c>
      <c r="J3" s="14">
        <f>H3-I3</f>
        <v>16</v>
      </c>
    </row>
    <row r="4" spans="1:10" x14ac:dyDescent="0.25">
      <c r="A4" s="34">
        <v>2</v>
      </c>
      <c r="B4" s="35">
        <f>'Lote 2'!C14</f>
        <v>1353</v>
      </c>
      <c r="C4" s="36">
        <f>'Lote 2'!D14</f>
        <v>1350</v>
      </c>
      <c r="D4" s="36">
        <f>'Lote 2'!E14</f>
        <v>1342</v>
      </c>
      <c r="E4" s="36">
        <f>'Lote 2'!F14</f>
        <v>1359</v>
      </c>
      <c r="F4" s="36">
        <f>'Lote 2'!G14</f>
        <v>1336</v>
      </c>
      <c r="G4" s="19">
        <f t="shared" ref="G4:G6" si="0">ROUNDDOWN(AVERAGE(B4:F4),0)</f>
        <v>1348</v>
      </c>
      <c r="H4" s="1">
        <f t="shared" ref="H4:H6" si="1">MAX(B4:F4)</f>
        <v>1359</v>
      </c>
      <c r="I4" s="1">
        <f>MIN(B4:F4)</f>
        <v>1336</v>
      </c>
      <c r="J4" s="15">
        <f t="shared" ref="J4:J6" si="2">H4-I4</f>
        <v>23</v>
      </c>
    </row>
    <row r="5" spans="1:10" x14ac:dyDescent="0.25">
      <c r="A5" s="34">
        <v>3</v>
      </c>
      <c r="B5" s="35">
        <f>'Lote 3'!C14</f>
        <v>1322</v>
      </c>
      <c r="C5" s="36">
        <f>'Lote 3'!D14</f>
        <v>1325</v>
      </c>
      <c r="D5" s="36">
        <f>'Lote 3'!E14</f>
        <v>1344</v>
      </c>
      <c r="E5" s="36">
        <f>'Lote 3'!F14</f>
        <v>1329</v>
      </c>
      <c r="F5" s="36">
        <f>'Lote 3'!G14</f>
        <v>1331</v>
      </c>
      <c r="G5" s="19">
        <f t="shared" si="0"/>
        <v>1330</v>
      </c>
      <c r="H5" s="1">
        <f t="shared" si="1"/>
        <v>1344</v>
      </c>
      <c r="I5" s="1">
        <f t="shared" ref="I5:I6" si="3">MIN(B5:F5)</f>
        <v>1322</v>
      </c>
      <c r="J5" s="15">
        <f t="shared" si="2"/>
        <v>22</v>
      </c>
    </row>
    <row r="6" spans="1:10" x14ac:dyDescent="0.25">
      <c r="A6" s="45">
        <v>4</v>
      </c>
      <c r="B6" s="46">
        <f>'Lote 4'!C14</f>
        <v>1349</v>
      </c>
      <c r="C6" s="47">
        <f>'Lote 4'!D14</f>
        <v>1337</v>
      </c>
      <c r="D6" s="47">
        <f>'Lote 4'!E14</f>
        <v>1326</v>
      </c>
      <c r="E6" s="47">
        <f>'Lote 4'!F14</f>
        <v>1326</v>
      </c>
      <c r="F6" s="47">
        <f>'Lote 4'!G14</f>
        <v>1317</v>
      </c>
      <c r="G6" s="48">
        <f t="shared" si="0"/>
        <v>1331</v>
      </c>
      <c r="H6" s="9">
        <f t="shared" si="1"/>
        <v>1349</v>
      </c>
      <c r="I6" s="9">
        <f t="shared" si="3"/>
        <v>1317</v>
      </c>
      <c r="J6" s="22">
        <f t="shared" si="2"/>
        <v>32</v>
      </c>
    </row>
    <row r="7" spans="1:10" x14ac:dyDescent="0.25">
      <c r="A7" s="34"/>
    </row>
    <row r="8" spans="1:10" ht="45" x14ac:dyDescent="0.25">
      <c r="A8" s="34"/>
      <c r="F8" s="23" t="s">
        <v>45</v>
      </c>
      <c r="G8" s="49">
        <f>ROUNDDOWN(AVERAGE(G3:G6),0)</f>
        <v>1338</v>
      </c>
      <c r="I8" s="23" t="s">
        <v>46</v>
      </c>
      <c r="J8" s="59">
        <f>ROUNDDOWN(AVERAGE(J3:J6),0)</f>
        <v>23</v>
      </c>
    </row>
    <row r="9" spans="1:10" x14ac:dyDescent="0.25">
      <c r="A9" s="34"/>
    </row>
    <row r="10" spans="1:10" x14ac:dyDescent="0.25">
      <c r="A10" s="24" t="s">
        <v>47</v>
      </c>
      <c r="B10" s="50">
        <f>ROUNDDOWN(B11*1.03,0)</f>
        <v>1378</v>
      </c>
      <c r="E10" s="24" t="s">
        <v>48</v>
      </c>
      <c r="F10" s="60">
        <f>(G8-B12)/(3*B15)</f>
        <v>1.3821159420289855</v>
      </c>
    </row>
    <row r="11" spans="1:10" x14ac:dyDescent="0.25">
      <c r="A11" s="25" t="s">
        <v>49</v>
      </c>
      <c r="B11" s="51">
        <v>1338</v>
      </c>
      <c r="E11" s="25" t="s">
        <v>50</v>
      </c>
      <c r="F11" s="61">
        <f>(B10-G8)/(3*B15)</f>
        <v>1.3484057971014494</v>
      </c>
    </row>
    <row r="12" spans="1:10" x14ac:dyDescent="0.25">
      <c r="A12" s="26" t="s">
        <v>51</v>
      </c>
      <c r="B12" s="52">
        <f>ROUNDDOWN(B11*0.97,0)</f>
        <v>1297</v>
      </c>
      <c r="E12" s="54" t="s">
        <v>52</v>
      </c>
      <c r="F12" s="62">
        <f>MIN(F10:F11)</f>
        <v>1.3484057971014494</v>
      </c>
    </row>
    <row r="13" spans="1:10" x14ac:dyDescent="0.25">
      <c r="A13" s="2"/>
      <c r="B13" s="1"/>
      <c r="E13" s="2"/>
      <c r="F13" s="1"/>
    </row>
    <row r="14" spans="1:10" x14ac:dyDescent="0.25">
      <c r="A14" s="24" t="s">
        <v>53</v>
      </c>
      <c r="B14" s="14">
        <v>2.3260000000000001</v>
      </c>
      <c r="E14" s="24" t="s">
        <v>54</v>
      </c>
      <c r="F14" s="60">
        <f>(G8-B12)/(3*B16)</f>
        <v>1.1492691066916045</v>
      </c>
    </row>
    <row r="15" spans="1:10" x14ac:dyDescent="0.25">
      <c r="A15" s="25" t="s">
        <v>55</v>
      </c>
      <c r="B15" s="61">
        <f>J8/B14</f>
        <v>9.8882201203783318</v>
      </c>
      <c r="E15" s="25" t="s">
        <v>56</v>
      </c>
      <c r="F15" s="61">
        <f>(B10-G8)/(3*B16)</f>
        <v>1.1212381528698581</v>
      </c>
    </row>
    <row r="16" spans="1:10" x14ac:dyDescent="0.25">
      <c r="A16" s="26" t="s">
        <v>57</v>
      </c>
      <c r="B16" s="63">
        <f>_xlfn.STDEV.S(B3:F6)</f>
        <v>11.89161579920027</v>
      </c>
      <c r="E16" s="54" t="s">
        <v>58</v>
      </c>
      <c r="F16" s="62">
        <f>MIN(F14:F15)</f>
        <v>1.1212381528698581</v>
      </c>
    </row>
    <row r="17" spans="1:2" x14ac:dyDescent="0.25">
      <c r="A17" s="2"/>
      <c r="B17" s="1"/>
    </row>
    <row r="18" spans="1:2" x14ac:dyDescent="0.25">
      <c r="A18" s="53" t="s">
        <v>59</v>
      </c>
      <c r="B18" s="64">
        <f>(B10-B12)/(6*B15)</f>
        <v>1.3652608695652173</v>
      </c>
    </row>
    <row r="19" spans="1:2" x14ac:dyDescent="0.25">
      <c r="A19" s="54" t="s">
        <v>60</v>
      </c>
      <c r="B19" s="62">
        <f>(B10-B12)/(6*B16)</f>
        <v>1.1352536297807312</v>
      </c>
    </row>
    <row r="20" spans="1:2" x14ac:dyDescent="0.25">
      <c r="A20" s="2"/>
      <c r="B20" s="1"/>
    </row>
  </sheetData>
  <mergeCells count="6">
    <mergeCell ref="J1:J2"/>
    <mergeCell ref="A1:A2"/>
    <mergeCell ref="B1:F1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Lote 1</vt:lpstr>
      <vt:lpstr>Lote 2</vt:lpstr>
      <vt:lpstr>Lote 3</vt:lpstr>
      <vt:lpstr>Lote 4</vt:lpstr>
      <vt:lpstr>%Ganancia</vt:lpstr>
      <vt:lpstr>Resumen</vt:lpstr>
      <vt:lpstr>Parámetros proceso</vt:lpstr>
      <vt:lpstr>Analisis Cp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Wilder Santiago Rodríguez Osorio</dc:creator>
  <cp:keywords/>
  <dc:description/>
  <cp:lastModifiedBy>Wilder Santiago Rodriguez Osorio</cp:lastModifiedBy>
  <cp:revision/>
  <dcterms:created xsi:type="dcterms:W3CDTF">2025-09-04T17:28:39Z</dcterms:created>
  <dcterms:modified xsi:type="dcterms:W3CDTF">2026-10-27T22:48:43Z</dcterms:modified>
  <cp:category/>
  <cp:contentStatus/>
</cp:coreProperties>
</file>